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slicers/slicer1.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codeName="ThisWorkbook" defaultThemeVersion="202300"/>
  <mc:AlternateContent xmlns:mc="http://schemas.openxmlformats.org/markup-compatibility/2006">
    <mc:Choice Requires="x15">
      <x15ac:absPath xmlns:x15ac="http://schemas.microsoft.com/office/spreadsheetml/2010/11/ac" url="C:\Users\prude\OneDrive\Documents\PROJECTS\Projects\Bike_sales_project\"/>
    </mc:Choice>
  </mc:AlternateContent>
  <xr:revisionPtr revIDLastSave="0" documentId="13_ncr:1_{09D4BC67-BBBF-456E-B583-AD9B8840C116}" xr6:coauthVersionLast="47" xr6:coauthVersionMax="47" xr10:uidLastSave="{00000000-0000-0000-0000-000000000000}"/>
  <bookViews>
    <workbookView xWindow="-120" yWindow="-120" windowWidth="29040" windowHeight="15840" activeTab="2" xr2:uid="{F67EB05E-67BA-444C-8157-281543B55ED6}"/>
  </bookViews>
  <sheets>
    <sheet name="Bike_Sale_Worksheet_dashboard" sheetId="1" r:id="rId1"/>
    <sheet name="Sheet1" sheetId="8" r:id="rId2"/>
    <sheet name="Pivot" sheetId="2" r:id="rId3"/>
    <sheet name="Dashboard" sheetId="7" r:id="rId4"/>
  </sheets>
  <definedNames>
    <definedName name="Slicer_Category_Children">#N/A</definedName>
    <definedName name="Slicer_Education">#N/A</definedName>
    <definedName name="Slicer_Occupation">#N/A</definedName>
    <definedName name="Slicer_Purchased_Bike">#N/A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64" i="1" l="1"/>
  <c r="V63" i="1"/>
  <c r="U64" i="1"/>
  <c r="U63" i="1"/>
  <c r="T64" i="1"/>
  <c r="T63" i="1"/>
  <c r="U44" i="1"/>
  <c r="V44" i="1" s="1"/>
  <c r="U43" i="1"/>
  <c r="V43" i="1" s="1"/>
  <c r="T43" i="1"/>
  <c r="T44" i="1"/>
  <c r="V23" i="1"/>
  <c r="V22" i="1"/>
  <c r="U23" i="1"/>
  <c r="U22" i="1"/>
  <c r="T23" i="1"/>
  <c r="T22" i="1"/>
  <c r="X3" i="1" a="1"/>
  <c r="X3" i="1" s="1"/>
  <c r="W3" i="1" a="1"/>
  <c r="W3" i="1" s="1"/>
  <c r="V3" i="1"/>
  <c r="U3" i="1"/>
  <c r="T3" i="1"/>
  <c r="X2" i="1" a="1"/>
  <c r="X2" i="1" s="1"/>
  <c r="W2" i="1" a="1"/>
  <c r="W2" i="1" s="1"/>
  <c r="V2" i="1"/>
  <c r="U2" i="1"/>
  <c r="T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<sst xmlns="http://schemas.openxmlformats.org/spreadsheetml/2006/main" count="10383" uniqueCount="62">
  <si>
    <t>ID</t>
  </si>
  <si>
    <t>Marital Status</t>
  </si>
  <si>
    <t>Gender</t>
  </si>
  <si>
    <t>Income</t>
  </si>
  <si>
    <t>Children</t>
  </si>
  <si>
    <t>Education</t>
  </si>
  <si>
    <t>Occupation</t>
  </si>
  <si>
    <t>Home Owner</t>
  </si>
  <si>
    <t>Cars</t>
  </si>
  <si>
    <t>Commute Distance</t>
  </si>
  <si>
    <t>Region</t>
  </si>
  <si>
    <t>Age</t>
  </si>
  <si>
    <t>Purchased Bike</t>
  </si>
  <si>
    <t>Married</t>
  </si>
  <si>
    <t>Female</t>
  </si>
  <si>
    <t>Bachelors</t>
  </si>
  <si>
    <t>Skilled Manual</t>
  </si>
  <si>
    <t>Yes</t>
  </si>
  <si>
    <t>0-1 Miles</t>
  </si>
  <si>
    <t>Europe</t>
  </si>
  <si>
    <t>No</t>
  </si>
  <si>
    <t>Male</t>
  </si>
  <si>
    <t>Partial College</t>
  </si>
  <si>
    <t>Clerical</t>
  </si>
  <si>
    <t>Professional</t>
  </si>
  <si>
    <t>2-5 Miles</t>
  </si>
  <si>
    <t>Single</t>
  </si>
  <si>
    <t>5-10 Miles</t>
  </si>
  <si>
    <t>Pacific</t>
  </si>
  <si>
    <t>Manual</t>
  </si>
  <si>
    <t>1-2 Miles</t>
  </si>
  <si>
    <t>High School</t>
  </si>
  <si>
    <t>Management</t>
  </si>
  <si>
    <t>Partial High School</t>
  </si>
  <si>
    <t>More Than 10 Miles</t>
  </si>
  <si>
    <t>Graduate Degree</t>
  </si>
  <si>
    <t>North America</t>
  </si>
  <si>
    <t>Purchase Bike</t>
  </si>
  <si>
    <t>Min Income</t>
  </si>
  <si>
    <t>Max Income</t>
  </si>
  <si>
    <t>Avg Income</t>
  </si>
  <si>
    <t>Standard Deviation (Std Dev)</t>
  </si>
  <si>
    <t>Median Income</t>
  </si>
  <si>
    <t>NoCar</t>
  </si>
  <si>
    <t>Have Car</t>
  </si>
  <si>
    <t>Have Child</t>
  </si>
  <si>
    <t>NoChild</t>
  </si>
  <si>
    <t>Category Children</t>
  </si>
  <si>
    <t>Category Cars</t>
  </si>
  <si>
    <t>Row Labels</t>
  </si>
  <si>
    <t>Grand Total</t>
  </si>
  <si>
    <t>Percentage</t>
  </si>
  <si>
    <t>Number Of Purhased</t>
  </si>
  <si>
    <t>Min Age</t>
  </si>
  <si>
    <t>Max Age</t>
  </si>
  <si>
    <t>Average Age</t>
  </si>
  <si>
    <t>Total Customer</t>
  </si>
  <si>
    <t>Num Purchased Bike</t>
  </si>
  <si>
    <t>Column Labels</t>
  </si>
  <si>
    <t>Number</t>
  </si>
  <si>
    <t>Total</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</si>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</sst>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_(* \(#,##0\);_(* &quot;-&quot;??_);_(@_)"/>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bgColor theme="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6">
    <xf numFmtId="0" fontId="0" fillId="0" borderId="0" xfId="0"/>
    <xf numFmtId="1" fontId="0" fillId="0" borderId="0" xfId="0" applyNumberFormat="1"/>
    <xf numFmtId="0" fontId="0" fillId="0" borderId="0" xfId="0" applyFill="1"/>
    <xf numFmtId="0" fontId="0" fillId="0" borderId="0" xfId="0" pivotButton="1"/>
    <xf numFmtId="0" fontId="0" fillId="0" borderId="0" xfId="0" applyAlignment="1">
      <alignment horizontal="left"/>
    </xf>
    <xf numFmtId="10" fontId="0" fillId="0" borderId="0" xfId="0" applyNumberFormat="1"/>
    <xf numFmtId="0" fontId="0" fillId="0" borderId="10" xfId="0" applyBorder="1" applyAlignment="1">
      <alignment vertical="center"/>
    </xf>
    <xf numFmtId="0" fontId="0" fillId="0" borderId="10" xfId="0" applyFont="1" applyBorder="1"/>
    <xf numFmtId="0" fontId="0" fillId="0" borderId="10" xfId="0" applyBorder="1"/>
    <xf numFmtId="0" fontId="0" fillId="0" borderId="0" xfId="0" applyAlignment="1">
      <alignment vertical="center" wrapText="1"/>
    </xf>
    <xf numFmtId="10" fontId="0" fillId="0" borderId="0" xfId="0" applyNumberFormat="1" applyAlignment="1">
      <alignment horizontal="left"/>
    </xf>
    <xf numFmtId="0" fontId="0" fillId="0" borderId="11" xfId="0" applyBorder="1" applyAlignment="1">
      <alignment vertical="center"/>
    </xf>
    <xf numFmtId="2" fontId="0" fillId="0" borderId="12" xfId="0" applyNumberFormat="1"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1" fontId="0" fillId="0" borderId="16" xfId="0" applyNumberFormat="1" applyBorder="1" applyAlignment="1">
      <alignment vertical="center"/>
    </xf>
    <xf numFmtId="0" fontId="0" fillId="0" borderId="17" xfId="0" applyBorder="1" applyAlignment="1">
      <alignment vertical="center"/>
    </xf>
    <xf numFmtId="2" fontId="0" fillId="0" borderId="18" xfId="0" applyNumberFormat="1" applyBorder="1" applyAlignment="1">
      <alignment vertical="center"/>
    </xf>
    <xf numFmtId="0" fontId="0" fillId="0" borderId="16" xfId="0" applyBorder="1"/>
    <xf numFmtId="0" fontId="0" fillId="0" borderId="15" xfId="0" applyBorder="1"/>
    <xf numFmtId="0" fontId="0" fillId="0" borderId="13" xfId="0" applyBorder="1"/>
    <xf numFmtId="0" fontId="0" fillId="0" borderId="11" xfId="0" applyBorder="1"/>
    <xf numFmtId="2" fontId="0" fillId="0" borderId="12" xfId="0" applyNumberFormat="1" applyBorder="1"/>
    <xf numFmtId="0" fontId="0" fillId="0" borderId="14" xfId="0" applyBorder="1"/>
    <xf numFmtId="0" fontId="0" fillId="0" borderId="17" xfId="0" applyBorder="1"/>
    <xf numFmtId="2" fontId="0" fillId="0" borderId="18" xfId="0" applyNumberForma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17" xfId="0" applyFont="1" applyBorder="1"/>
    <xf numFmtId="0" fontId="16" fillId="0" borderId="0" xfId="0" applyFont="1"/>
    <xf numFmtId="164" fontId="0" fillId="0" borderId="0" xfId="0" applyNumberFormat="1"/>
    <xf numFmtId="0" fontId="13" fillId="34" borderId="18" xfId="0" applyFont="1" applyFill="1" applyBorder="1"/>
    <xf numFmtId="0" fontId="13" fillId="34" borderId="17" xfId="0" applyFont="1" applyFill="1" applyBorder="1"/>
    <xf numFmtId="0" fontId="0" fillId="33" borderId="18" xfId="0" applyFont="1" applyFill="1" applyBorder="1"/>
    <xf numFmtId="0" fontId="0" fillId="33" borderId="17" xfId="0" applyFont="1" applyFill="1" applyBorder="1"/>
    <xf numFmtId="9" fontId="0" fillId="0" borderId="0" xfId="0" applyNumberFormat="1"/>
    <xf numFmtId="1" fontId="0" fillId="0" borderId="12" xfId="0" applyNumberFormat="1" applyFont="1" applyBorder="1"/>
    <xf numFmtId="1" fontId="0" fillId="0" borderId="18" xfId="0" applyNumberFormat="1" applyFont="1" applyBorder="1"/>
    <xf numFmtId="1" fontId="0" fillId="0" borderId="12" xfId="0" applyNumberFormat="1" applyBorder="1"/>
    <xf numFmtId="1" fontId="0" fillId="0" borderId="18" xfId="0" applyNumberFormat="1" applyBorder="1"/>
    <xf numFmtId="1" fontId="0" fillId="33" borderId="18" xfId="0" applyNumberFormat="1"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4">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4" formatCode="0.00%"/>
    </dxf>
    <dxf>
      <numFmt numFmtId="166" formatCode="0.0%"/>
    </dxf>
    <dxf>
      <numFmt numFmtId="13" formatCode="0%"/>
    </dxf>
    <dxf>
      <numFmt numFmtId="1" formatCode="0"/>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 formatCode="0"/>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style="thin">
          <color indexed="64"/>
        </top>
        <bottom style="thin">
          <color indexed="64"/>
        </bottom>
      </border>
    </dxf>
    <dxf>
      <numFmt numFmtId="13" formatCode="0%"/>
    </dxf>
    <dxf>
      <numFmt numFmtId="13" formatCode="0%"/>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numFmt numFmtId="14" formatCode="0.00%"/>
    </dxf>
    <dxf>
      <numFmt numFmtId="14" formatCode="0.00%"/>
    </dxf>
    <dxf>
      <numFmt numFmtId="164" formatCode="_(* #,##0_);_(* \(#,##0\);_(* &quot;-&quot;??_);_(@_)"/>
    </dxf>
    <dxf>
      <numFmt numFmtId="2" formatCode="0.0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2" formatCode="0.0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2" formatCode="0.00"/>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general" vertical="center" textRotation="0" wrapText="0" indent="0" justifyLastLine="0" shrinkToFit="0" readingOrder="0"/>
      <border diagonalUp="0" diagonalDown="0" outline="0">
        <left style="thin">
          <color indexed="64"/>
        </left>
        <right style="thin">
          <color indexed="64"/>
        </right>
        <top/>
        <bottom/>
      </border>
    </dxf>
    <dxf>
      <numFmt numFmtId="1" formatCode="0"/>
    </dxf>
  </dxfs>
  <tableStyles count="0" defaultTableStyle="TableStyleMedium2" defaultPivotStyle="PivotStyleLight16"/>
  <colors>
    <mruColors>
      <color rgb="FF8783D1"/>
      <color rgb="FFE3B9BC"/>
      <color rgb="FFAA9ABA"/>
      <color rgb="FFD1ABAD"/>
      <color rgb="FFBFA4A4"/>
      <color rgb="FFFFA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Income Distribution of </a:t>
            </a:r>
          </a:p>
          <a:p>
            <a:pPr>
              <a:defRPr/>
            </a:pPr>
            <a:r>
              <a:rPr lang="en-US" sz="1400" b="1" i="0" u="none" strike="noStrike" baseline="0"/>
              <a:t>Bike Purchasers vs. Non-Purchasers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c:f>
              <c:strCache>
                <c:ptCount val="1"/>
                <c:pt idx="0">
                  <c:v>Yes</c:v>
                </c:pt>
              </c:strCache>
            </c:strRef>
          </c:tx>
          <c:spPr>
            <a:solidFill>
              <a:schemeClr val="accent5">
                <a:lumMod val="60000"/>
                <a:lumOff val="40000"/>
              </a:schemeClr>
            </a:solidFill>
            <a:ln>
              <a:solidFill>
                <a:schemeClr val="bg1"/>
              </a:solidFill>
            </a:ln>
            <a:effectLst/>
          </c:spPr>
          <c:invertIfNegative val="0"/>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Bike_Sale_Worksheet_dashboard!$T$2:$X$2</c:f>
              <c:numCache>
                <c:formatCode>General</c:formatCode>
                <c:ptCount val="5"/>
                <c:pt idx="0">
                  <c:v>10000</c:v>
                </c:pt>
                <c:pt idx="1">
                  <c:v>170000</c:v>
                </c:pt>
                <c:pt idx="2">
                  <c:v>57474.747474747477</c:v>
                </c:pt>
                <c:pt idx="3" formatCode="0">
                  <c:v>31045.983733139608</c:v>
                </c:pt>
                <c:pt idx="4">
                  <c:v>60000</c:v>
                </c:pt>
              </c:numCache>
            </c:numRef>
          </c:val>
          <c:extLst>
            <c:ext xmlns:c16="http://schemas.microsoft.com/office/drawing/2014/chart" uri="{C3380CC4-5D6E-409C-BE32-E72D297353CC}">
              <c16:uniqueId val="{00000000-1444-45ED-96D6-D371FDFDBE02}"/>
            </c:ext>
          </c:extLst>
        </c:ser>
        <c:ser>
          <c:idx val="1"/>
          <c:order val="1"/>
          <c:tx>
            <c:strRef>
              <c:f>Bike_Sale_Worksheet_dashboard!$S$3</c:f>
              <c:strCache>
                <c:ptCount val="1"/>
                <c:pt idx="0">
                  <c:v>No</c:v>
                </c:pt>
              </c:strCache>
            </c:strRef>
          </c:tx>
          <c:spPr>
            <a:solidFill>
              <a:schemeClr val="accent5">
                <a:lumMod val="50000"/>
              </a:schemeClr>
            </a:solidFill>
            <a:ln>
              <a:solidFill>
                <a:schemeClr val="bg1"/>
              </a:solidFill>
            </a:ln>
            <a:effectLst/>
          </c:spPr>
          <c:invertIfNegative val="0"/>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Bike_Sale_Worksheet_dashboard!$T$3:$X$3</c:f>
              <c:numCache>
                <c:formatCode>General</c:formatCode>
                <c:ptCount val="5"/>
                <c:pt idx="0">
                  <c:v>10000</c:v>
                </c:pt>
                <c:pt idx="1">
                  <c:v>170000</c:v>
                </c:pt>
                <c:pt idx="2">
                  <c:v>55028.248587570619</c:v>
                </c:pt>
                <c:pt idx="3" formatCode="0">
                  <c:v>31505.452546096116</c:v>
                </c:pt>
                <c:pt idx="4">
                  <c:v>60000</c:v>
                </c:pt>
              </c:numCache>
            </c:numRef>
          </c:val>
          <c:extLst>
            <c:ext xmlns:c16="http://schemas.microsoft.com/office/drawing/2014/chart" uri="{C3380CC4-5D6E-409C-BE32-E72D297353CC}">
              <c16:uniqueId val="{00000001-1444-45ED-96D6-D371FDFDBE02}"/>
            </c:ext>
          </c:extLst>
        </c:ser>
        <c:dLbls>
          <c:showLegendKey val="0"/>
          <c:showVal val="0"/>
          <c:showCatName val="0"/>
          <c:showSerName val="0"/>
          <c:showPercent val="0"/>
          <c:showBubbleSize val="0"/>
        </c:dLbls>
        <c:gapWidth val="182"/>
        <c:axId val="683084720"/>
        <c:axId val="683083280"/>
      </c:barChart>
      <c:catAx>
        <c:axId val="683084720"/>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3280"/>
        <c:crosses val="autoZero"/>
        <c:auto val="1"/>
        <c:lblAlgn val="ctr"/>
        <c:lblOffset val="100"/>
        <c:noMultiLvlLbl val="0"/>
      </c:catAx>
      <c:valAx>
        <c:axId val="683083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47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Age Range by Marital Status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Bike_Sale_Worksheet_dashboard!$S$22</c:f>
              <c:strCache>
                <c:ptCount val="1"/>
                <c:pt idx="0">
                  <c:v>Married</c:v>
                </c:pt>
              </c:strCache>
            </c:strRef>
          </c:tx>
          <c:spPr>
            <a:solidFill>
              <a:schemeClr val="accent5">
                <a:lumMod val="20000"/>
                <a:lumOff val="8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Bike_Sale_Worksheet_dashboard!$T$22:$V$22</c:f>
              <c:numCache>
                <c:formatCode>General</c:formatCode>
                <c:ptCount val="3"/>
                <c:pt idx="0">
                  <c:v>25</c:v>
                </c:pt>
                <c:pt idx="1">
                  <c:v>89</c:v>
                </c:pt>
                <c:pt idx="2" formatCode="0.00">
                  <c:v>46.357012750455375</c:v>
                </c:pt>
              </c:numCache>
            </c:numRef>
          </c:val>
          <c:extLst>
            <c:ext xmlns:c16="http://schemas.microsoft.com/office/drawing/2014/chart" uri="{C3380CC4-5D6E-409C-BE32-E72D297353CC}">
              <c16:uniqueId val="{00000000-78F0-43DC-9F82-CCA923CF39D8}"/>
            </c:ext>
          </c:extLst>
        </c:ser>
        <c:ser>
          <c:idx val="1"/>
          <c:order val="1"/>
          <c:tx>
            <c:strRef>
              <c:f>Bike_Sale_Worksheet_dashboard!$S$23</c:f>
              <c:strCache>
                <c:ptCount val="1"/>
                <c:pt idx="0">
                  <c:v>Single</c:v>
                </c:pt>
              </c:strCache>
            </c:strRef>
          </c:tx>
          <c:spPr>
            <a:solidFill>
              <a:schemeClr val="accent5">
                <a:lumMod val="60000"/>
                <a:lumOff val="4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Bike_Sale_Worksheet_dashboard!$T$23:$V$23</c:f>
              <c:numCache>
                <c:formatCode>General</c:formatCode>
                <c:ptCount val="3"/>
                <c:pt idx="0">
                  <c:v>25</c:v>
                </c:pt>
                <c:pt idx="1">
                  <c:v>78</c:v>
                </c:pt>
                <c:pt idx="2" formatCode="0.00">
                  <c:v>41.584905660377359</c:v>
                </c:pt>
              </c:numCache>
            </c:numRef>
          </c:val>
          <c:extLst>
            <c:ext xmlns:c16="http://schemas.microsoft.com/office/drawing/2014/chart" uri="{C3380CC4-5D6E-409C-BE32-E72D297353CC}">
              <c16:uniqueId val="{00000001-78F0-43DC-9F82-CCA923CF39D8}"/>
            </c:ext>
          </c:extLst>
        </c:ser>
        <c:dLbls>
          <c:dLblPos val="inEnd"/>
          <c:showLegendKey val="0"/>
          <c:showVal val="1"/>
          <c:showCatName val="0"/>
          <c:showSerName val="0"/>
          <c:showPercent val="0"/>
          <c:showBubbleSize val="0"/>
        </c:dLbls>
        <c:gapWidth val="182"/>
        <c:axId val="829062367"/>
        <c:axId val="829063807"/>
      </c:barChart>
      <c:catAx>
        <c:axId val="82906236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3807"/>
        <c:crosses val="autoZero"/>
        <c:auto val="1"/>
        <c:lblAlgn val="ctr"/>
        <c:lblOffset val="100"/>
        <c:noMultiLvlLbl val="0"/>
      </c:catAx>
      <c:valAx>
        <c:axId val="8290638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Gender-wise Percentage of Bike Purchases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Bike_Sale_Worksheet_dashboard!$S$43</c:f>
              <c:strCache>
                <c:ptCount val="1"/>
                <c:pt idx="0">
                  <c:v>Female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Bike_Sale_Worksheet_dashboard!$T$43:$V$43</c15:sqref>
                  </c15:fullRef>
                </c:ext>
              </c:extLst>
              <c:f>Bike_Sale_Worksheet_dashboard!$V$43</c:f>
              <c:numCache>
                <c:formatCode>General</c:formatCode>
                <c:ptCount val="1"/>
                <c:pt idx="0" formatCode="0.00">
                  <c:v>48.50299401197605</c:v>
                </c:pt>
              </c:numCache>
            </c:numRef>
          </c:val>
          <c:extLst>
            <c:ext xmlns:c16="http://schemas.microsoft.com/office/drawing/2014/chart" uri="{C3380CC4-5D6E-409C-BE32-E72D297353CC}">
              <c16:uniqueId val="{00000000-A840-4429-8A89-D5DC0B3A60D2}"/>
            </c:ext>
          </c:extLst>
        </c:ser>
        <c:ser>
          <c:idx val="1"/>
          <c:order val="1"/>
          <c:tx>
            <c:strRef>
              <c:f>Bike_Sale_Worksheet_dashboard!$S$44</c:f>
              <c:strCache>
                <c:ptCount val="1"/>
                <c:pt idx="0">
                  <c:v>Male</c:v>
                </c:pt>
              </c:strCache>
            </c:strRef>
          </c:tx>
          <c:spPr>
            <a:solidFill>
              <a:schemeClr val="accent5">
                <a:lumMod val="60000"/>
                <a:lumOff val="40000"/>
              </a:schemeClr>
            </a:solidFill>
            <a:ln>
              <a:solidFill>
                <a:schemeClr val="accent5">
                  <a:lumMod val="60000"/>
                  <a:lumOff val="4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Bike_Sale_Worksheet_dashboard!$T$44:$V$44</c15:sqref>
                  </c15:fullRef>
                </c:ext>
              </c:extLst>
              <c:f>Bike_Sale_Worksheet_dashboard!$V$44</c:f>
              <c:numCache>
                <c:formatCode>General</c:formatCode>
                <c:ptCount val="1"/>
                <c:pt idx="0" formatCode="0.00">
                  <c:v>48</c:v>
                </c:pt>
              </c:numCache>
            </c:numRef>
          </c:val>
          <c:extLst>
            <c:ext xmlns:c16="http://schemas.microsoft.com/office/drawing/2014/chart" uri="{C3380CC4-5D6E-409C-BE32-E72D297353CC}">
              <c16:uniqueId val="{00000001-A840-4429-8A89-D5DC0B3A60D2}"/>
            </c:ext>
          </c:extLst>
        </c:ser>
        <c:dLbls>
          <c:dLblPos val="inEnd"/>
          <c:showLegendKey val="0"/>
          <c:showVal val="1"/>
          <c:showCatName val="0"/>
          <c:showSerName val="0"/>
          <c:showPercent val="0"/>
          <c:showBubbleSize val="0"/>
        </c:dLbls>
        <c:gapWidth val="182"/>
        <c:axId val="860235039"/>
        <c:axId val="860233599"/>
      </c:barChart>
      <c:catAx>
        <c:axId val="8602350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3599"/>
        <c:crosses val="autoZero"/>
        <c:auto val="1"/>
        <c:lblAlgn val="ctr"/>
        <c:lblOffset val="100"/>
        <c:noMultiLvlLbl val="0"/>
      </c:catAx>
      <c:valAx>
        <c:axId val="8602335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50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Percentage of Bike Purchases by Marital Status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Bike_Sale_Worksheet_dashboard!$S$63</c:f>
              <c:strCache>
                <c:ptCount val="1"/>
                <c:pt idx="0">
                  <c:v>Married</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Bike_Sale_Worksheet_dashboard!$T$63:$V$63</c15:sqref>
                  </c15:fullRef>
                </c:ext>
              </c:extLst>
              <c:f>Bike_Sale_Worksheet_dashboard!$V$63</c:f>
              <c:numCache>
                <c:formatCode>General</c:formatCode>
                <c:ptCount val="1"/>
                <c:pt idx="0" formatCode="0.00">
                  <c:v>42.987249544626593</c:v>
                </c:pt>
              </c:numCache>
            </c:numRef>
          </c:val>
          <c:extLst>
            <c:ext xmlns:c16="http://schemas.microsoft.com/office/drawing/2014/chart" uri="{C3380CC4-5D6E-409C-BE32-E72D297353CC}">
              <c16:uniqueId val="{00000000-3048-4260-9883-DEA7D2AC2967}"/>
            </c:ext>
          </c:extLst>
        </c:ser>
        <c:ser>
          <c:idx val="1"/>
          <c:order val="1"/>
          <c:tx>
            <c:strRef>
              <c:f>Bike_Sale_Worksheet_dashboard!$S$64</c:f>
              <c:strCache>
                <c:ptCount val="1"/>
                <c:pt idx="0">
                  <c:v>Single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Bike_Sale_Worksheet_dashboard!$T$64:$V$64</c15:sqref>
                  </c15:fullRef>
                </c:ext>
              </c:extLst>
              <c:f>Bike_Sale_Worksheet_dashboard!$V$64</c:f>
              <c:numCache>
                <c:formatCode>General</c:formatCode>
                <c:ptCount val="1"/>
                <c:pt idx="0" formatCode="0.00">
                  <c:v>54.297693920335433</c:v>
                </c:pt>
              </c:numCache>
            </c:numRef>
          </c:val>
          <c:extLst>
            <c:ext xmlns:c16="http://schemas.microsoft.com/office/drawing/2014/chart" uri="{C3380CC4-5D6E-409C-BE32-E72D297353CC}">
              <c16:uniqueId val="{00000001-3048-4260-9883-DEA7D2AC2967}"/>
            </c:ext>
          </c:extLst>
        </c:ser>
        <c:dLbls>
          <c:dLblPos val="outEnd"/>
          <c:showLegendKey val="0"/>
          <c:showVal val="1"/>
          <c:showCatName val="0"/>
          <c:showSerName val="0"/>
          <c:showPercent val="0"/>
          <c:showBubbleSize val="0"/>
        </c:dLbls>
        <c:gapWidth val="182"/>
        <c:axId val="981761839"/>
        <c:axId val="981763279"/>
      </c:barChart>
      <c:catAx>
        <c:axId val="9817618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3279"/>
        <c:crosses val="autoZero"/>
        <c:auto val="1"/>
        <c:lblAlgn val="ctr"/>
        <c:lblOffset val="100"/>
        <c:noMultiLvlLbl val="0"/>
      </c:catAx>
      <c:valAx>
        <c:axId val="9817632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1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c:name>
    <c:fmtId val="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Gender Distribution Among Customers</a:t>
            </a:r>
            <a:endParaRPr lang="en-US" sz="140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5">
              <a:lumMod val="75000"/>
            </a:schemeClr>
          </a:solidFill>
          <a:ln w="25400">
            <a:solidFill>
              <a:schemeClr val="lt1"/>
            </a:solidFill>
          </a:ln>
          <a:effectLst/>
          <a:sp3d contourW="25400">
            <a:contourClr>
              <a:schemeClr val="lt1"/>
            </a:contourClr>
          </a:sp3d>
        </c:spPr>
      </c:pivotFmt>
      <c:pivotFmt>
        <c:idx val="3"/>
        <c:spPr>
          <a:solidFill>
            <a:schemeClr val="accent4">
              <a:lumMod val="75000"/>
            </a:schemeClr>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c:f>
              <c:strCache>
                <c:ptCount val="1"/>
                <c:pt idx="0">
                  <c:v>Percentage</c:v>
                </c:pt>
              </c:strCache>
            </c:strRef>
          </c:tx>
          <c:spPr>
            <a:solidFill>
              <a:schemeClr val="accent4">
                <a:lumMod val="75000"/>
              </a:schemeClr>
            </a:solidFill>
          </c:spPr>
          <c:explosion val="5"/>
          <c:dPt>
            <c:idx val="0"/>
            <c:bubble3D val="0"/>
            <c:spPr>
              <a:solidFill>
                <a:schemeClr val="accent5">
                  <a:lumMod val="7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F40B-4EFE-B356-C2D3C94CEC4E}"/>
              </c:ext>
            </c:extLst>
          </c:dPt>
          <c:dPt>
            <c:idx val="1"/>
            <c:bubble3D val="0"/>
            <c:spPr>
              <a:solidFill>
                <a:schemeClr val="accent4">
                  <a:lumMod val="7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4-F40B-4EFE-B356-C2D3C94CEC4E}"/>
              </c:ext>
            </c:extLst>
          </c:dPt>
          <c:dLbls>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Pivot!$A$2:$A$4</c:f>
              <c:strCache>
                <c:ptCount val="2"/>
                <c:pt idx="0">
                  <c:v>Female</c:v>
                </c:pt>
                <c:pt idx="1">
                  <c:v>Male</c:v>
                </c:pt>
              </c:strCache>
            </c:strRef>
          </c:cat>
          <c:val>
            <c:numRef>
              <c:f>Pivot!$B$2:$B$4</c:f>
              <c:numCache>
                <c:formatCode>0%</c:formatCode>
                <c:ptCount val="2"/>
                <c:pt idx="0">
                  <c:v>0.48830409356725146</c:v>
                </c:pt>
                <c:pt idx="1">
                  <c:v>0.51169590643274854</c:v>
                </c:pt>
              </c:numCache>
            </c:numRef>
          </c:val>
          <c:extLst>
            <c:ext xmlns:c16="http://schemas.microsoft.com/office/drawing/2014/chart" uri="{C3380CC4-5D6E-409C-BE32-E72D297353CC}">
              <c16:uniqueId val="{00000000-F40B-4EFE-B356-C2D3C94CEC4E}"/>
            </c:ext>
          </c:extLst>
        </c:ser>
        <c:ser>
          <c:idx val="1"/>
          <c:order val="1"/>
          <c:tx>
            <c:strRef>
              <c:f>Pivot!$C$1</c:f>
              <c:strCache>
                <c:ptCount val="1"/>
                <c:pt idx="0">
                  <c:v>Number Of Purhased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5-BC0C-4DC9-A2FC-D87864E1D4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7-BC0C-4DC9-A2FC-D87864E1D460}"/>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Pivot!$A$2:$A$4</c:f>
              <c:strCache>
                <c:ptCount val="2"/>
                <c:pt idx="0">
                  <c:v>Female</c:v>
                </c:pt>
                <c:pt idx="1">
                  <c:v>Male</c:v>
                </c:pt>
              </c:strCache>
            </c:strRef>
          </c:cat>
          <c:val>
            <c:numRef>
              <c:f>Pivot!$C$2:$C$4</c:f>
              <c:numCache>
                <c:formatCode>_(* #,##0_);_(* \(#,##0\);_(* "-"??_);_(@_)</c:formatCode>
                <c:ptCount val="2"/>
                <c:pt idx="0">
                  <c:v>501</c:v>
                </c:pt>
                <c:pt idx="1">
                  <c:v>525</c:v>
                </c:pt>
              </c:numCache>
            </c:numRef>
          </c:val>
          <c:extLst>
            <c:ext xmlns:c16="http://schemas.microsoft.com/office/drawing/2014/chart" uri="{C3380CC4-5D6E-409C-BE32-E72D297353CC}">
              <c16:uniqueId val="{00000001-F40B-4EFE-B356-C2D3C94CEC4E}"/>
            </c:ext>
          </c:extLst>
        </c:ser>
        <c:dLbls>
          <c:dLblPos val="bestFit"/>
          <c:showLegendKey val="0"/>
          <c:showVal val="1"/>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Age Range by Marital Status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Bike_Sale_Worksheet_dashboard!$T$21</c:f>
              <c:strCache>
                <c:ptCount val="1"/>
                <c:pt idx="0">
                  <c:v>Min Age</c:v>
                </c:pt>
              </c:strCache>
            </c:strRef>
          </c:tx>
          <c:spPr>
            <a:solidFill>
              <a:schemeClr val="accent5">
                <a:lumMod val="20000"/>
                <a:lumOff val="8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Bike_Sale_Worksheet_dashboard!$S$22:$S$23</c:f>
              <c:strCache>
                <c:ptCount val="2"/>
                <c:pt idx="0">
                  <c:v>Married</c:v>
                </c:pt>
                <c:pt idx="1">
                  <c:v>Single</c:v>
                </c:pt>
              </c:strCache>
            </c:strRef>
          </c:cat>
          <c:val>
            <c:numRef>
              <c:f>Bike_Sale_Worksheet_dashboard!$T$22:$T$23</c:f>
              <c:numCache>
                <c:formatCode>General</c:formatCode>
                <c:ptCount val="2"/>
                <c:pt idx="0">
                  <c:v>25</c:v>
                </c:pt>
                <c:pt idx="1">
                  <c:v>25</c:v>
                </c:pt>
              </c:numCache>
            </c:numRef>
          </c:val>
          <c:extLst>
            <c:ext xmlns:c16="http://schemas.microsoft.com/office/drawing/2014/chart" uri="{C3380CC4-5D6E-409C-BE32-E72D297353CC}">
              <c16:uniqueId val="{00000000-D18C-445D-9278-5DB3D57A7807}"/>
            </c:ext>
          </c:extLst>
        </c:ser>
        <c:ser>
          <c:idx val="1"/>
          <c:order val="1"/>
          <c:tx>
            <c:strRef>
              <c:f>Bike_Sale_Worksheet_dashboard!$U$21</c:f>
              <c:strCache>
                <c:ptCount val="1"/>
                <c:pt idx="0">
                  <c:v>Max Age</c:v>
                </c:pt>
              </c:strCache>
            </c:strRef>
          </c:tx>
          <c:spPr>
            <a:solidFill>
              <a:schemeClr val="accent5">
                <a:lumMod val="60000"/>
                <a:lumOff val="4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Bike_Sale_Worksheet_dashboard!$S$22:$S$23</c:f>
              <c:strCache>
                <c:ptCount val="2"/>
                <c:pt idx="0">
                  <c:v>Married</c:v>
                </c:pt>
                <c:pt idx="1">
                  <c:v>Single</c:v>
                </c:pt>
              </c:strCache>
            </c:strRef>
          </c:cat>
          <c:val>
            <c:numRef>
              <c:f>Bike_Sale_Worksheet_dashboard!$U$22:$U$23</c:f>
              <c:numCache>
                <c:formatCode>General</c:formatCode>
                <c:ptCount val="2"/>
                <c:pt idx="0">
                  <c:v>89</c:v>
                </c:pt>
                <c:pt idx="1">
                  <c:v>78</c:v>
                </c:pt>
              </c:numCache>
            </c:numRef>
          </c:val>
          <c:extLst>
            <c:ext xmlns:c16="http://schemas.microsoft.com/office/drawing/2014/chart" uri="{C3380CC4-5D6E-409C-BE32-E72D297353CC}">
              <c16:uniqueId val="{00000001-D18C-445D-9278-5DB3D57A7807}"/>
            </c:ext>
          </c:extLst>
        </c:ser>
        <c:ser>
          <c:idx val="2"/>
          <c:order val="2"/>
          <c:tx>
            <c:strRef>
              <c:f>Bike_Sale_Worksheet_dashboard!$V$21</c:f>
              <c:strCache>
                <c:ptCount val="1"/>
                <c:pt idx="0">
                  <c:v>Average Age</c:v>
                </c:pt>
              </c:strCache>
            </c:strRef>
          </c:tx>
          <c:spPr>
            <a:solidFill>
              <a:schemeClr val="accent5">
                <a:lumMod val="50000"/>
              </a:schemeClr>
            </a:solidFill>
            <a:ln>
              <a:solidFill>
                <a:schemeClr val="bg1">
                  <a:lumMod val="9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Bike_Sale_Worksheet_dashboard!$S$22:$S$23</c:f>
              <c:strCache>
                <c:ptCount val="2"/>
                <c:pt idx="0">
                  <c:v>Married</c:v>
                </c:pt>
                <c:pt idx="1">
                  <c:v>Single</c:v>
                </c:pt>
              </c:strCache>
            </c:strRef>
          </c:cat>
          <c:val>
            <c:numRef>
              <c:f>Bike_Sale_Worksheet_dashboard!$V$22:$V$23</c:f>
              <c:numCache>
                <c:formatCode>0.00</c:formatCode>
                <c:ptCount val="2"/>
                <c:pt idx="0">
                  <c:v>46.357012750455375</c:v>
                </c:pt>
                <c:pt idx="1">
                  <c:v>41.584905660377359</c:v>
                </c:pt>
              </c:numCache>
            </c:numRef>
          </c:val>
          <c:extLst>
            <c:ext xmlns:c16="http://schemas.microsoft.com/office/drawing/2014/chart" uri="{C3380CC4-5D6E-409C-BE32-E72D297353CC}">
              <c16:uniqueId val="{00000002-D18C-445D-9278-5DB3D57A7807}"/>
            </c:ext>
          </c:extLst>
        </c:ser>
        <c:dLbls>
          <c:dLblPos val="inEnd"/>
          <c:showLegendKey val="0"/>
          <c:showVal val="1"/>
          <c:showCatName val="0"/>
          <c:showSerName val="0"/>
          <c:showPercent val="0"/>
          <c:showBubbleSize val="0"/>
        </c:dLbls>
        <c:gapWidth val="182"/>
        <c:axId val="829062367"/>
        <c:axId val="829063807"/>
      </c:barChart>
      <c:catAx>
        <c:axId val="82906236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3807"/>
        <c:crosses val="autoZero"/>
        <c:auto val="1"/>
        <c:lblAlgn val="ctr"/>
        <c:lblOffset val="100"/>
        <c:noMultiLvlLbl val="0"/>
      </c:catAx>
      <c:valAx>
        <c:axId val="8290638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Gender-wise Percentage of Bike Purchases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Bike_Sale_Worksheet_dashboard!$S$43</c:f>
              <c:strCache>
                <c:ptCount val="1"/>
                <c:pt idx="0">
                  <c:v>Female</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Bike_Sale_Worksheet_dashboard!$T$43:$V$43</c15:sqref>
                  </c15:fullRef>
                </c:ext>
              </c:extLst>
              <c:f>Bike_Sale_Worksheet_dashboard!$V$43</c:f>
              <c:numCache>
                <c:formatCode>General</c:formatCode>
                <c:ptCount val="1"/>
                <c:pt idx="0" formatCode="0.00">
                  <c:v>48.50299401197605</c:v>
                </c:pt>
              </c:numCache>
            </c:numRef>
          </c:val>
          <c:extLst>
            <c:ext xmlns:c16="http://schemas.microsoft.com/office/drawing/2014/chart" uri="{C3380CC4-5D6E-409C-BE32-E72D297353CC}">
              <c16:uniqueId val="{00000000-8E59-4FB7-BC12-579184E7EEF4}"/>
            </c:ext>
          </c:extLst>
        </c:ser>
        <c:ser>
          <c:idx val="1"/>
          <c:order val="1"/>
          <c:tx>
            <c:strRef>
              <c:f>Bike_Sale_Worksheet_dashboard!$S$44</c:f>
              <c:strCache>
                <c:ptCount val="1"/>
                <c:pt idx="0">
                  <c:v>Male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Bike_Sale_Worksheet_dashboard!$T$44:$V$44</c15:sqref>
                  </c15:fullRef>
                </c:ext>
              </c:extLst>
              <c:f>Bike_Sale_Worksheet_dashboard!$V$44</c:f>
              <c:numCache>
                <c:formatCode>General</c:formatCode>
                <c:ptCount val="1"/>
                <c:pt idx="0" formatCode="0.00">
                  <c:v>48</c:v>
                </c:pt>
              </c:numCache>
            </c:numRef>
          </c:val>
          <c:extLst>
            <c:ext xmlns:c16="http://schemas.microsoft.com/office/drawing/2014/chart" uri="{C3380CC4-5D6E-409C-BE32-E72D297353CC}">
              <c16:uniqueId val="{00000001-8E59-4FB7-BC12-579184E7EEF4}"/>
            </c:ext>
          </c:extLst>
        </c:ser>
        <c:dLbls>
          <c:dLblPos val="inEnd"/>
          <c:showLegendKey val="0"/>
          <c:showVal val="1"/>
          <c:showCatName val="0"/>
          <c:showSerName val="0"/>
          <c:showPercent val="0"/>
          <c:showBubbleSize val="0"/>
        </c:dLbls>
        <c:gapWidth val="182"/>
        <c:axId val="860235039"/>
        <c:axId val="860233599"/>
      </c:barChart>
      <c:catAx>
        <c:axId val="8602350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3599"/>
        <c:crosses val="autoZero"/>
        <c:auto val="1"/>
        <c:lblAlgn val="ctr"/>
        <c:lblOffset val="100"/>
        <c:noMultiLvlLbl val="0"/>
      </c:catAx>
      <c:valAx>
        <c:axId val="8602335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50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Percentage of Bike Purchases by Marital Status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Bike_Sale_Worksheet_dashboard!$S$63</c:f>
              <c:strCache>
                <c:ptCount val="1"/>
                <c:pt idx="0">
                  <c:v>Married</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Bike_Sale_Worksheet_dashboard!$T$63:$V$63</c15:sqref>
                  </c15:fullRef>
                </c:ext>
              </c:extLst>
              <c:f>Bike_Sale_Worksheet_dashboard!$V$63</c:f>
              <c:numCache>
                <c:formatCode>General</c:formatCode>
                <c:ptCount val="1"/>
                <c:pt idx="0" formatCode="0.00">
                  <c:v>42.987249544626593</c:v>
                </c:pt>
              </c:numCache>
            </c:numRef>
          </c:val>
          <c:extLst>
            <c:ext xmlns:c16="http://schemas.microsoft.com/office/drawing/2014/chart" uri="{C3380CC4-5D6E-409C-BE32-E72D297353CC}">
              <c16:uniqueId val="{00000000-CBF0-455E-A398-B7142AEAB752}"/>
            </c:ext>
          </c:extLst>
        </c:ser>
        <c:ser>
          <c:idx val="1"/>
          <c:order val="1"/>
          <c:tx>
            <c:strRef>
              <c:f>Bike_Sale_Worksheet_dashboard!$S$64</c:f>
              <c:strCache>
                <c:ptCount val="1"/>
                <c:pt idx="0">
                  <c:v>Single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Bike_Sale_Worksheet_dashboard!$T$64:$V$64</c15:sqref>
                  </c15:fullRef>
                </c:ext>
              </c:extLst>
              <c:f>Bike_Sale_Worksheet_dashboard!$V$64</c:f>
              <c:numCache>
                <c:formatCode>General</c:formatCode>
                <c:ptCount val="1"/>
                <c:pt idx="0" formatCode="0.00">
                  <c:v>54.297693920335433</c:v>
                </c:pt>
              </c:numCache>
            </c:numRef>
          </c:val>
          <c:extLst>
            <c:ext xmlns:c16="http://schemas.microsoft.com/office/drawing/2014/chart" uri="{C3380CC4-5D6E-409C-BE32-E72D297353CC}">
              <c16:uniqueId val="{00000001-CBF0-455E-A398-B7142AEAB752}"/>
            </c:ext>
          </c:extLst>
        </c:ser>
        <c:dLbls>
          <c:dLblPos val="outEnd"/>
          <c:showLegendKey val="0"/>
          <c:showVal val="1"/>
          <c:showCatName val="0"/>
          <c:showSerName val="0"/>
          <c:showPercent val="0"/>
          <c:showBubbleSize val="0"/>
        </c:dLbls>
        <c:gapWidth val="182"/>
        <c:axId val="981761839"/>
        <c:axId val="981763279"/>
      </c:barChart>
      <c:catAx>
        <c:axId val="9817618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3279"/>
        <c:crosses val="autoZero"/>
        <c:auto val="1"/>
        <c:lblAlgn val="ctr"/>
        <c:lblOffset val="100"/>
        <c:noMultiLvlLbl val="0"/>
      </c:catAx>
      <c:valAx>
        <c:axId val="9817632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1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[Bike_Sale_Worksheet_dashboard.xlsm]Pivot!PivotTable12</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Proportion of Bike Buyers by Region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pivotFmt>
      <c:pivotFmt>
        <c:idx val="2"/>
        <c:spPr>
          <a:solidFill>
            <a:schemeClr val="accent5">
              <a:lumMod val="60000"/>
              <a:lumOff val="40000"/>
            </a:schemeClr>
          </a:solidFill>
          <a:ln>
            <a:noFill/>
          </a:ln>
          <a:effectLst/>
        </c:spPr>
      </c:pivotFmt>
      <c:pivotFmt>
        <c:idx val="3"/>
        <c:spPr>
          <a:solidFill>
            <a:schemeClr val="accent5">
              <a:lumMod val="50000"/>
            </a:schemeClr>
          </a:solidFill>
          <a:ln>
            <a:noFill/>
          </a:ln>
          <a:effectLst/>
        </c:spPr>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1"/>
        <c:ser>
          <c:idx val="0"/>
          <c:order val="0"/>
          <c:tx>
            <c:strRef>
              <c:f>Pivot!$B$72</c:f>
              <c:strCache>
                <c:ptCount val="1"/>
                <c:pt idx="0">
                  <c:v>Total</c:v>
                </c:pt>
              </c:strCache>
            </c:strRef>
          </c:tx>
          <c:invertIfNegative val="0"/>
          <c:dPt>
            <c:idx val="0"/>
            <c:invertIfNegative val="0"/>
            <c:bubble3D val="0"/>
            <c:spPr>
              <a:solidFill>
                <a:schemeClr val="accent5">
                  <a:lumMod val="50000"/>
                </a:schemeClr>
              </a:solidFill>
              <a:ln>
                <a:noFill/>
              </a:ln>
              <a:effectLst/>
            </c:spPr>
            <c:extLst>
              <c:ext xmlns:c16="http://schemas.microsoft.com/office/drawing/2014/chart" uri="{C3380CC4-5D6E-409C-BE32-E72D297353CC}">
                <c16:uniqueId val="{00000006-0D0A-4F37-BBE7-07F55132585F}"/>
              </c:ext>
            </c:extLst>
          </c:dPt>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5-0D0A-4F37-BBE7-07F55132585F}"/>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4-0D0A-4F37-BBE7-07F55132585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Pivot!$A$73:$A$76</c:f>
              <c:strCache>
                <c:ptCount val="3"/>
                <c:pt idx="0">
                  <c:v>North America</c:v>
                </c:pt>
                <c:pt idx="1">
                  <c:v>Europe</c:v>
                </c:pt>
                <c:pt idx="2">
                  <c:v>Pacific</c:v>
                </c:pt>
              </c:strCache>
            </c:strRef>
          </c:cat>
          <c:val>
            <c:numRef>
              <c:f>Pivot!$B$73:$B$76</c:f>
              <c:numCache>
                <c:formatCode>0%</c:formatCode>
                <c:ptCount val="3"/>
                <c:pt idx="0">
                  <c:v>0.44444444444444442</c:v>
                </c:pt>
                <c:pt idx="1">
                  <c:v>0.31515151515151513</c:v>
                </c:pt>
                <c:pt idx="2">
                  <c:v>0.2404040404040404</c:v>
                </c:pt>
              </c:numCache>
            </c:numRef>
          </c:val>
          <c:extLst>
            <c:ext xmlns:c16="http://schemas.microsoft.com/office/drawing/2014/chart" uri="{C3380CC4-5D6E-409C-BE32-E72D297353CC}">
              <c16:uniqueId val="{00000000-0D0A-4F37-BBE7-07F55132585F}"/>
            </c:ext>
          </c:extLst>
        </c:ser>
        <c:dLbls>
          <c:dLblPos val="inEnd"/>
          <c:showLegendKey val="0"/>
          <c:showVal val="1"/>
          <c:showCatName val="0"/>
          <c:showSerName val="0"/>
          <c:showPercent val="0"/>
          <c:showBubbleSize val="0"/>
        </c:dLbls>
        <c:gapWidth val="182"/>
        <c:axId val="981762799"/>
        <c:axId val="981765199"/>
      </c:barChart>
      <c:catAx>
        <c:axId val="98176279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5199"/>
        <c:crosses val="autoZero"/>
        <c:auto val="1"/>
        <c:lblAlgn val="ctr"/>
        <c:lblOffset val="100"/>
        <c:noMultiLvlLbl val="0"/>
      </c:catAx>
      <c:valAx>
        <c:axId val="98176519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27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Income Distribution of </a:t>
            </a:r>
          </a:p>
          <a:p>
            <a:pPr>
              <a:defRPr/>
            </a:pPr>
            <a:r>
              <a:rPr lang="en-US" sz="1400" b="1" i="0" u="none" strike="noStrike" baseline="0"/>
              <a:t>Bike Purchasers vs. Non-Purchasers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c:f>
              <c:strCache>
                <c:ptCount val="1"/>
                <c:pt idx="0">
                  <c:v>Yes</c:v>
                </c:pt>
              </c:strCache>
            </c:strRef>
          </c:tx>
          <c:spPr>
            <a:solidFill>
              <a:schemeClr val="accent5">
                <a:lumMod val="60000"/>
                <a:lumOff val="40000"/>
              </a:schemeClr>
            </a:solidFill>
            <a:ln>
              <a:solidFill>
                <a:schemeClr val="bg1"/>
              </a:solid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Bike_Sale_Worksheet_dashboard!$T$2:$X$2</c:f>
              <c:numCache>
                <c:formatCode>General</c:formatCode>
                <c:ptCount val="5"/>
                <c:pt idx="0">
                  <c:v>10000</c:v>
                </c:pt>
                <c:pt idx="1">
                  <c:v>170000</c:v>
                </c:pt>
                <c:pt idx="2">
                  <c:v>57474.747474747477</c:v>
                </c:pt>
                <c:pt idx="3" formatCode="0">
                  <c:v>31045.983733139608</c:v>
                </c:pt>
                <c:pt idx="4">
                  <c:v>60000</c:v>
                </c:pt>
              </c:numCache>
            </c:numRef>
          </c:val>
          <c:extLst>
            <c:ext xmlns:c16="http://schemas.microsoft.com/office/drawing/2014/chart" uri="{C3380CC4-5D6E-409C-BE32-E72D297353CC}">
              <c16:uniqueId val="{00000000-E737-4465-BF0C-55E37B0899F4}"/>
            </c:ext>
          </c:extLst>
        </c:ser>
        <c:ser>
          <c:idx val="1"/>
          <c:order val="1"/>
          <c:tx>
            <c:strRef>
              <c:f>Bike_Sale_Worksheet_dashboard!$S$3</c:f>
              <c:strCache>
                <c:ptCount val="1"/>
                <c:pt idx="0">
                  <c:v>No</c:v>
                </c:pt>
              </c:strCache>
            </c:strRef>
          </c:tx>
          <c:spPr>
            <a:solidFill>
              <a:schemeClr val="accent5">
                <a:lumMod val="50000"/>
              </a:schemeClr>
            </a:solidFill>
            <a:ln>
              <a:solidFill>
                <a:schemeClr val="bg1"/>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Bike_Sale_Worksheet_dashboard!$T$3:$X$3</c:f>
              <c:numCache>
                <c:formatCode>General</c:formatCode>
                <c:ptCount val="5"/>
                <c:pt idx="0">
                  <c:v>10000</c:v>
                </c:pt>
                <c:pt idx="1">
                  <c:v>170000</c:v>
                </c:pt>
                <c:pt idx="2">
                  <c:v>55028.248587570619</c:v>
                </c:pt>
                <c:pt idx="3" formatCode="0">
                  <c:v>31505.452546096116</c:v>
                </c:pt>
                <c:pt idx="4">
                  <c:v>60000</c:v>
                </c:pt>
              </c:numCache>
            </c:numRef>
          </c:val>
          <c:extLst>
            <c:ext xmlns:c16="http://schemas.microsoft.com/office/drawing/2014/chart" uri="{C3380CC4-5D6E-409C-BE32-E72D297353CC}">
              <c16:uniqueId val="{00000001-E737-4465-BF0C-55E37B0899F4}"/>
            </c:ext>
          </c:extLst>
        </c:ser>
        <c:dLbls>
          <c:dLblPos val="outEnd"/>
          <c:showLegendKey val="0"/>
          <c:showVal val="1"/>
          <c:showCatName val="0"/>
          <c:showSerName val="0"/>
          <c:showPercent val="0"/>
          <c:showBubbleSize val="0"/>
        </c:dLbls>
        <c:gapWidth val="182"/>
        <c:axId val="683084720"/>
        <c:axId val="683083280"/>
      </c:barChart>
      <c:catAx>
        <c:axId val="683084720"/>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3280"/>
        <c:crosses val="autoZero"/>
        <c:auto val="1"/>
        <c:lblAlgn val="ctr"/>
        <c:lblOffset val="100"/>
        <c:noMultiLvlLbl val="0"/>
      </c:catAx>
      <c:valAx>
        <c:axId val="6830832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Income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47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[Bike_Sale_Worksheet_dashboard.xlsm]Pivot!PivotTable13</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Impact of Number of Children on Bike Purchases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solidFill>
              <a:schemeClr val="bg1"/>
            </a:solidFill>
          </a:ln>
          <a:effectLst/>
        </c:spPr>
      </c:pivotFmt>
      <c:pivotFmt>
        <c:idx val="3"/>
        <c:spPr>
          <a:solidFill>
            <a:schemeClr val="accent4">
              <a:lumMod val="75000"/>
            </a:schemeClr>
          </a:solidFill>
          <a:ln>
            <a:solidFill>
              <a:schemeClr val="bg1"/>
            </a:solidFill>
          </a:ln>
          <a:effectLst/>
        </c:spPr>
      </c:pivotFmt>
    </c:pivotFmts>
    <c:plotArea>
      <c:layout/>
      <c:barChart>
        <c:barDir val="bar"/>
        <c:grouping val="stacked"/>
        <c:varyColors val="0"/>
        <c:ser>
          <c:idx val="0"/>
          <c:order val="0"/>
          <c:tx>
            <c:strRef>
              <c:f>Pivot!$B$109:$B$110</c:f>
              <c:strCache>
                <c:ptCount val="1"/>
                <c:pt idx="0">
                  <c:v>Have Child</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Pivot!$B$111:$B$113</c:f>
              <c:numCache>
                <c:formatCode>0%</c:formatCode>
                <c:ptCount val="2"/>
                <c:pt idx="0">
                  <c:v>0.52645861601085486</c:v>
                </c:pt>
                <c:pt idx="1">
                  <c:v>0.47354138398914519</c:v>
                </c:pt>
              </c:numCache>
            </c:numRef>
          </c:val>
          <c:extLst>
            <c:ext xmlns:c16="http://schemas.microsoft.com/office/drawing/2014/chart" uri="{C3380CC4-5D6E-409C-BE32-E72D297353CC}">
              <c16:uniqueId val="{00000000-8AFC-4E3A-9B9A-316E49852FD8}"/>
            </c:ext>
          </c:extLst>
        </c:ser>
        <c:ser>
          <c:idx val="1"/>
          <c:order val="1"/>
          <c:tx>
            <c:strRef>
              <c:f>Pivot!$C$109:$C$110</c:f>
              <c:strCache>
                <c:ptCount val="1"/>
                <c:pt idx="0">
                  <c:v>NoChild</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Pivot!$C$111:$C$113</c:f>
              <c:numCache>
                <c:formatCode>0%</c:formatCode>
                <c:ptCount val="2"/>
                <c:pt idx="0">
                  <c:v>0.49480968858131485</c:v>
                </c:pt>
                <c:pt idx="1">
                  <c:v>0.50519031141868509</c:v>
                </c:pt>
              </c:numCache>
            </c:numRef>
          </c:val>
          <c:extLst>
            <c:ext xmlns:c16="http://schemas.microsoft.com/office/drawing/2014/chart" uri="{C3380CC4-5D6E-409C-BE32-E72D297353CC}">
              <c16:uniqueId val="{00000002-6740-4340-B2B5-DC63D9F9D973}"/>
            </c:ext>
          </c:extLst>
        </c:ser>
        <c:dLbls>
          <c:dLblPos val="ctr"/>
          <c:showLegendKey val="0"/>
          <c:showVal val="1"/>
          <c:showCatName val="0"/>
          <c:showSerName val="0"/>
          <c:showPercent val="0"/>
          <c:showBubbleSize val="0"/>
        </c:dLbls>
        <c:gapWidth val="150"/>
        <c:overlap val="100"/>
        <c:axId val="861593727"/>
        <c:axId val="861594687"/>
      </c:barChart>
      <c:catAx>
        <c:axId val="86159372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Bike</a:t>
                </a:r>
                <a:r>
                  <a:rPr lang="en-US" baseline="0"/>
                  <a:t> Purchased</a:t>
                </a:r>
                <a:endParaRPr lang="en-US"/>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4687"/>
        <c:crosses val="autoZero"/>
        <c:auto val="1"/>
        <c:lblAlgn val="ctr"/>
        <c:lblOffset val="100"/>
        <c:noMultiLvlLbl val="0"/>
      </c:catAx>
      <c:valAx>
        <c:axId val="8615946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37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[Bike_Sale_Worksheet_dashboard.xlsm]Pivot!PivotTable14</c:name>
    <c:fmtId val="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Most Common Commute Distances Among Bike 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a:solidFill>
              <a:schemeClr val="bg1"/>
            </a:solidFill>
          </a:ln>
          <a:effectLst/>
        </c:spPr>
      </c:pivotFmt>
      <c:pivotFmt>
        <c:idx val="6"/>
        <c:spPr>
          <a:solidFill>
            <a:schemeClr val="accent5">
              <a:lumMod val="60000"/>
              <a:lumOff val="40000"/>
            </a:schemeClr>
          </a:solidFill>
          <a:ln>
            <a:solidFill>
              <a:schemeClr val="bg1"/>
            </a:solidFill>
          </a:ln>
          <a:effectLst/>
        </c:spPr>
      </c:pivotFmt>
      <c:pivotFmt>
        <c:idx val="7"/>
        <c:spPr>
          <a:solidFill>
            <a:schemeClr val="accent5">
              <a:lumMod val="75000"/>
            </a:schemeClr>
          </a:solidFill>
          <a:ln>
            <a:solidFill>
              <a:schemeClr val="bg1"/>
            </a:solidFill>
          </a:ln>
          <a:effectLst/>
        </c:spPr>
      </c:pivotFmt>
      <c:pivotFmt>
        <c:idx val="8"/>
        <c:spPr>
          <a:solidFill>
            <a:schemeClr val="accent5">
              <a:lumMod val="40000"/>
              <a:lumOff val="60000"/>
            </a:schemeClr>
          </a:solidFill>
          <a:ln>
            <a:solidFill>
              <a:schemeClr val="bg1"/>
            </a:solidFill>
          </a:ln>
          <a:effectLst/>
        </c:spPr>
      </c:pivotFmt>
      <c:pivotFmt>
        <c:idx val="9"/>
        <c:spPr>
          <a:solidFill>
            <a:schemeClr val="accent5">
              <a:lumMod val="50000"/>
            </a:schemeClr>
          </a:solidFill>
          <a:ln>
            <a:solidFill>
              <a:schemeClr val="bg1"/>
            </a:solidFill>
          </a:ln>
          <a:effectLst/>
        </c:spPr>
      </c:pivotFmt>
    </c:pivotFmts>
    <c:plotArea>
      <c:layout/>
      <c:barChart>
        <c:barDir val="bar"/>
        <c:grouping val="clustered"/>
        <c:varyColors val="1"/>
        <c:ser>
          <c:idx val="0"/>
          <c:order val="0"/>
          <c:tx>
            <c:strRef>
              <c:f>Pivot!$B$125</c:f>
              <c:strCache>
                <c:ptCount val="1"/>
                <c:pt idx="0">
                  <c:v>Total</c:v>
                </c:pt>
              </c:strCache>
            </c:strRef>
          </c:tx>
          <c:spPr>
            <a:ln>
              <a:solidFill>
                <a:schemeClr val="bg1"/>
              </a:solidFill>
            </a:ln>
          </c:spPr>
          <c:invertIfNegative val="0"/>
          <c:dPt>
            <c:idx val="0"/>
            <c:invertIfNegative val="0"/>
            <c:bubble3D val="0"/>
            <c:spPr>
              <a:solidFill>
                <a:schemeClr val="accent5">
                  <a:lumMod val="50000"/>
                </a:schemeClr>
              </a:solidFill>
              <a:ln>
                <a:solidFill>
                  <a:schemeClr val="bg1"/>
                </a:solidFill>
              </a:ln>
              <a:effectLst/>
            </c:spPr>
            <c:extLst>
              <c:ext xmlns:c16="http://schemas.microsoft.com/office/drawing/2014/chart" uri="{C3380CC4-5D6E-409C-BE32-E72D297353CC}">
                <c16:uniqueId val="{0000001E-35AC-4025-A32C-F27CC5C4D26D}"/>
              </c:ext>
            </c:extLst>
          </c:dPt>
          <c:dPt>
            <c:idx val="1"/>
            <c:invertIfNegative val="0"/>
            <c:bubble3D val="0"/>
            <c:spPr>
              <a:solidFill>
                <a:schemeClr val="accent5">
                  <a:lumMod val="40000"/>
                  <a:lumOff val="60000"/>
                </a:schemeClr>
              </a:solidFill>
              <a:ln>
                <a:solidFill>
                  <a:schemeClr val="bg1"/>
                </a:solidFill>
              </a:ln>
              <a:effectLst/>
            </c:spPr>
            <c:extLst>
              <c:ext xmlns:c16="http://schemas.microsoft.com/office/drawing/2014/chart" uri="{C3380CC4-5D6E-409C-BE32-E72D297353CC}">
                <c16:uniqueId val="{0000001D-35AC-4025-A32C-F27CC5C4D26D}"/>
              </c:ext>
            </c:extLst>
          </c:dPt>
          <c:dPt>
            <c:idx val="2"/>
            <c:invertIfNegative val="0"/>
            <c:bubble3D val="0"/>
            <c:spPr>
              <a:solidFill>
                <a:schemeClr val="accent5">
                  <a:lumMod val="75000"/>
                </a:schemeClr>
              </a:solidFill>
              <a:ln>
                <a:solidFill>
                  <a:schemeClr val="bg1"/>
                </a:solidFill>
              </a:ln>
              <a:effectLst/>
            </c:spPr>
            <c:extLst>
              <c:ext xmlns:c16="http://schemas.microsoft.com/office/drawing/2014/chart" uri="{C3380CC4-5D6E-409C-BE32-E72D297353CC}">
                <c16:uniqueId val="{0000001C-35AC-4025-A32C-F27CC5C4D26D}"/>
              </c:ext>
            </c:extLst>
          </c:dPt>
          <c:dPt>
            <c:idx val="3"/>
            <c:invertIfNegative val="0"/>
            <c:bubble3D val="0"/>
            <c:spPr>
              <a:solidFill>
                <a:schemeClr val="accent5">
                  <a:lumMod val="60000"/>
                  <a:lumOff val="40000"/>
                </a:schemeClr>
              </a:solidFill>
              <a:ln>
                <a:solidFill>
                  <a:schemeClr val="bg1"/>
                </a:solidFill>
              </a:ln>
              <a:effectLst/>
            </c:spPr>
            <c:extLst>
              <c:ext xmlns:c16="http://schemas.microsoft.com/office/drawing/2014/chart" uri="{C3380CC4-5D6E-409C-BE32-E72D297353CC}">
                <c16:uniqueId val="{0000001B-35AC-4025-A32C-F27CC5C4D26D}"/>
              </c:ext>
            </c:extLst>
          </c:dPt>
          <c:dPt>
            <c:idx val="4"/>
            <c:invertIfNegative val="0"/>
            <c:bubble3D val="0"/>
            <c:spPr>
              <a:solidFill>
                <a:schemeClr val="accent5">
                  <a:lumMod val="20000"/>
                  <a:lumOff val="80000"/>
                </a:schemeClr>
              </a:solidFill>
              <a:ln>
                <a:solidFill>
                  <a:schemeClr val="bg1"/>
                </a:solidFill>
              </a:ln>
              <a:effectLst/>
            </c:spPr>
            <c:extLst>
              <c:ext xmlns:c16="http://schemas.microsoft.com/office/drawing/2014/chart" uri="{C3380CC4-5D6E-409C-BE32-E72D297353CC}">
                <c16:uniqueId val="{0000001A-35AC-4025-A32C-F27CC5C4D26D}"/>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Pivot!$A$126:$A$131</c:f>
              <c:strCache>
                <c:ptCount val="5"/>
                <c:pt idx="0">
                  <c:v>0-1 Miles</c:v>
                </c:pt>
                <c:pt idx="1">
                  <c:v>1-2 Miles</c:v>
                </c:pt>
                <c:pt idx="2">
                  <c:v>2-5 Miles</c:v>
                </c:pt>
                <c:pt idx="3">
                  <c:v>5-10 Miles</c:v>
                </c:pt>
                <c:pt idx="4">
                  <c:v>More Than 10 Miles</c:v>
                </c:pt>
              </c:strCache>
            </c:strRef>
          </c:cat>
          <c:val>
            <c:numRef>
              <c:f>Pivot!$B$126:$B$131</c:f>
              <c:numCache>
                <c:formatCode>0%</c:formatCode>
                <c:ptCount val="5"/>
                <c:pt idx="0">
                  <c:v>0.41818181818181815</c:v>
                </c:pt>
                <c:pt idx="1">
                  <c:v>0.16767676767676767</c:v>
                </c:pt>
                <c:pt idx="2">
                  <c:v>0.19191919191919191</c:v>
                </c:pt>
                <c:pt idx="3">
                  <c:v>0.15555555555555556</c:v>
                </c:pt>
                <c:pt idx="4">
                  <c:v>6.6666666666666666E-2</c:v>
                </c:pt>
              </c:numCache>
            </c:numRef>
          </c:val>
          <c:extLst>
            <c:ext xmlns:c16="http://schemas.microsoft.com/office/drawing/2014/chart" uri="{C3380CC4-5D6E-409C-BE32-E72D297353CC}">
              <c16:uniqueId val="{00000000-35AC-4025-A32C-F27CC5C4D26D}"/>
            </c:ext>
          </c:extLst>
        </c:ser>
        <c:dLbls>
          <c:dLblPos val="inEnd"/>
          <c:showLegendKey val="0"/>
          <c:showVal val="1"/>
          <c:showCatName val="0"/>
          <c:showSerName val="0"/>
          <c:showPercent val="0"/>
          <c:showBubbleSize val="0"/>
        </c:dLbls>
        <c:gapWidth val="182"/>
        <c:axId val="817746703"/>
        <c:axId val="817747663"/>
      </c:barChart>
      <c:catAx>
        <c:axId val="81774670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7663"/>
        <c:crosses val="autoZero"/>
        <c:auto val="1"/>
        <c:lblAlgn val="ctr"/>
        <c:lblOffset val="100"/>
        <c:noMultiLvlLbl val="0"/>
      </c:catAx>
      <c:valAx>
        <c:axId val="8177476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Total</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[Bike_Sale_Worksheet_dashboard.xlsm]Pivot!PivotTable15</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Education Level</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Pivot!$B$148:$B$149</c:f>
              <c:strCache>
                <c:ptCount val="1"/>
                <c:pt idx="0">
                  <c:v>No</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Pivot!$B$150:$B$155</c:f>
              <c:numCache>
                <c:formatCode>0%</c:formatCode>
                <c:ptCount val="5"/>
                <c:pt idx="0">
                  <c:v>0.45659163987138263</c:v>
                </c:pt>
                <c:pt idx="1">
                  <c:v>0.45714285714285713</c:v>
                </c:pt>
                <c:pt idx="2">
                  <c:v>0.55434782608695654</c:v>
                </c:pt>
                <c:pt idx="3">
                  <c:v>0.54316546762589923</c:v>
                </c:pt>
                <c:pt idx="4">
                  <c:v>0.71794871794871795</c:v>
                </c:pt>
              </c:numCache>
            </c:numRef>
          </c:val>
          <c:extLst>
            <c:ext xmlns:c16="http://schemas.microsoft.com/office/drawing/2014/chart" uri="{C3380CC4-5D6E-409C-BE32-E72D297353CC}">
              <c16:uniqueId val="{00000000-8221-4586-89C3-75465AB6F388}"/>
            </c:ext>
          </c:extLst>
        </c:ser>
        <c:ser>
          <c:idx val="1"/>
          <c:order val="1"/>
          <c:tx>
            <c:strRef>
              <c:f>Pivot!$C$148:$C$149</c:f>
              <c:strCache>
                <c:ptCount val="1"/>
                <c:pt idx="0">
                  <c:v>Yes</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Pivot!$C$150:$C$155</c:f>
              <c:numCache>
                <c:formatCode>0%</c:formatCode>
                <c:ptCount val="5"/>
                <c:pt idx="0">
                  <c:v>0.54340836012861737</c:v>
                </c:pt>
                <c:pt idx="1">
                  <c:v>0.54285714285714282</c:v>
                </c:pt>
                <c:pt idx="2">
                  <c:v>0.44565217391304346</c:v>
                </c:pt>
                <c:pt idx="3">
                  <c:v>0.45683453237410071</c:v>
                </c:pt>
                <c:pt idx="4">
                  <c:v>0.28205128205128205</c:v>
                </c:pt>
              </c:numCache>
            </c:numRef>
          </c:val>
          <c:extLst>
            <c:ext xmlns:c16="http://schemas.microsoft.com/office/drawing/2014/chart" uri="{C3380CC4-5D6E-409C-BE32-E72D297353CC}">
              <c16:uniqueId val="{00000001-8221-4586-89C3-75465AB6F388}"/>
            </c:ext>
          </c:extLst>
        </c:ser>
        <c:dLbls>
          <c:showLegendKey val="0"/>
          <c:showVal val="0"/>
          <c:showCatName val="0"/>
          <c:showSerName val="0"/>
          <c:showPercent val="0"/>
          <c:showBubbleSize val="0"/>
        </c:dLbls>
        <c:gapWidth val="150"/>
        <c:overlap val="100"/>
        <c:axId val="832089519"/>
        <c:axId val="832091439"/>
      </c:barChart>
      <c:catAx>
        <c:axId val="83208951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91439"/>
        <c:crosses val="autoZero"/>
        <c:auto val="1"/>
        <c:lblAlgn val="ctr"/>
        <c:lblOffset val="100"/>
        <c:noMultiLvlLbl val="0"/>
      </c:catAx>
      <c:valAx>
        <c:axId val="83209143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89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[Bike_Sale_Worksheet_dashboard.xlsm]Pivot!PivotTable16</c:name>
    <c:fmtId val="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Occupation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Pivot!$B$165:$B$166</c:f>
              <c:strCache>
                <c:ptCount val="1"/>
                <c:pt idx="0">
                  <c:v>No</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Pivot!$B$167:$B$172</c:f>
              <c:numCache>
                <c:formatCode>0%</c:formatCode>
                <c:ptCount val="5"/>
                <c:pt idx="0">
                  <c:v>0.49197860962566847</c:v>
                </c:pt>
                <c:pt idx="1">
                  <c:v>0.58045977011494254</c:v>
                </c:pt>
                <c:pt idx="2">
                  <c:v>0.53174603174603174</c:v>
                </c:pt>
                <c:pt idx="3">
                  <c:v>0.4642857142857143</c:v>
                </c:pt>
                <c:pt idx="4">
                  <c:v>0.54440154440154442</c:v>
                </c:pt>
              </c:numCache>
            </c:numRef>
          </c:val>
          <c:extLst>
            <c:ext xmlns:c16="http://schemas.microsoft.com/office/drawing/2014/chart" uri="{C3380CC4-5D6E-409C-BE32-E72D297353CC}">
              <c16:uniqueId val="{00000000-1BCD-48D6-AFEC-7E6B0606B42A}"/>
            </c:ext>
          </c:extLst>
        </c:ser>
        <c:ser>
          <c:idx val="1"/>
          <c:order val="1"/>
          <c:tx>
            <c:strRef>
              <c:f>Pivot!$C$165:$C$166</c:f>
              <c:strCache>
                <c:ptCount val="1"/>
                <c:pt idx="0">
                  <c:v>Yes</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Pivot!$C$167:$C$172</c:f>
              <c:numCache>
                <c:formatCode>0%</c:formatCode>
                <c:ptCount val="5"/>
                <c:pt idx="0">
                  <c:v>0.50802139037433158</c:v>
                </c:pt>
                <c:pt idx="1">
                  <c:v>0.41954022988505746</c:v>
                </c:pt>
                <c:pt idx="2">
                  <c:v>0.46825396825396826</c:v>
                </c:pt>
                <c:pt idx="3">
                  <c:v>0.5357142857142857</c:v>
                </c:pt>
                <c:pt idx="4">
                  <c:v>0.45559845559845558</c:v>
                </c:pt>
              </c:numCache>
            </c:numRef>
          </c:val>
          <c:extLst>
            <c:ext xmlns:c16="http://schemas.microsoft.com/office/drawing/2014/chart" uri="{C3380CC4-5D6E-409C-BE32-E72D297353CC}">
              <c16:uniqueId val="{00000001-1BCD-48D6-AFEC-7E6B0606B42A}"/>
            </c:ext>
          </c:extLst>
        </c:ser>
        <c:dLbls>
          <c:dLblPos val="ctr"/>
          <c:showLegendKey val="0"/>
          <c:showVal val="1"/>
          <c:showCatName val="0"/>
          <c:showSerName val="0"/>
          <c:showPercent val="0"/>
          <c:showBubbleSize val="0"/>
        </c:dLbls>
        <c:gapWidth val="150"/>
        <c:overlap val="100"/>
        <c:axId val="937398447"/>
        <c:axId val="937404207"/>
      </c:barChart>
      <c:catAx>
        <c:axId val="93739844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404207"/>
        <c:crosses val="autoZero"/>
        <c:auto val="1"/>
        <c:lblAlgn val="ctr"/>
        <c:lblOffset val="100"/>
        <c:noMultiLvlLbl val="0"/>
      </c:catAx>
      <c:valAx>
        <c:axId val="93740420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39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c:name>
    <c:fmtId val="3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Gender Distribution Among Customers</a:t>
            </a:r>
            <a:endParaRPr lang="en-US" sz="140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5">
              <a:lumMod val="75000"/>
            </a:schemeClr>
          </a:solidFill>
          <a:ln w="25400">
            <a:solidFill>
              <a:schemeClr val="lt1"/>
            </a:solidFill>
          </a:ln>
          <a:effectLst/>
          <a:sp3d contourW="25400">
            <a:contourClr>
              <a:schemeClr val="lt1"/>
            </a:contourClr>
          </a:sp3d>
        </c:spPr>
      </c:pivotFmt>
      <c:pivotFmt>
        <c:idx val="3"/>
        <c:spPr>
          <a:solidFill>
            <a:schemeClr val="accent4">
              <a:lumMod val="75000"/>
            </a:schemeClr>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5">
              <a:lumMod val="75000"/>
            </a:schemeClr>
          </a:solidFill>
          <a:ln w="25400">
            <a:solidFill>
              <a:schemeClr val="lt1"/>
            </a:solidFill>
          </a:ln>
          <a:effectLst/>
          <a:sp3d contourW="25400">
            <a:contourClr>
              <a:schemeClr val="lt1"/>
            </a:contourClr>
          </a:sp3d>
        </c:spPr>
      </c:pivotFmt>
      <c:pivotFmt>
        <c:idx val="8"/>
        <c:spPr>
          <a:solidFill>
            <a:schemeClr val="accent4">
              <a:lumMod val="75000"/>
            </a:schemeClr>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chemeClr val="accent5">
              <a:lumMod val="75000"/>
            </a:schemeClr>
          </a:solidFill>
          <a:ln w="25400">
            <a:solidFill>
              <a:schemeClr val="lt1"/>
            </a:solidFill>
          </a:ln>
          <a:effectLst/>
          <a:sp3d contourW="25400">
            <a:contourClr>
              <a:schemeClr val="lt1"/>
            </a:contourClr>
          </a:sp3d>
        </c:spPr>
      </c:pivotFmt>
      <c:pivotFmt>
        <c:idx val="14"/>
        <c:spPr>
          <a:solidFill>
            <a:schemeClr val="accent4">
              <a:lumMod val="75000"/>
            </a:schemeClr>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chemeClr val="accent5">
              <a:lumMod val="75000"/>
            </a:schemeClr>
          </a:solidFill>
          <a:ln w="25400">
            <a:solidFill>
              <a:schemeClr val="lt1"/>
            </a:solidFill>
          </a:ln>
          <a:effectLst/>
          <a:sp3d contourW="25400">
            <a:contourClr>
              <a:schemeClr val="lt1"/>
            </a:contourClr>
          </a:sp3d>
        </c:spPr>
      </c:pivotFmt>
      <c:pivotFmt>
        <c:idx val="20"/>
        <c:spPr>
          <a:solidFill>
            <a:schemeClr val="accent4">
              <a:lumMod val="75000"/>
            </a:schemeClr>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25"/>
        <c:spPr>
          <a:solidFill>
            <a:srgbClr val="E3B9BC"/>
          </a:solidFill>
          <a:ln w="25400">
            <a:solidFill>
              <a:schemeClr val="lt1"/>
            </a:solidFill>
          </a:ln>
          <a:effectLst/>
          <a:sp3d contourW="25400">
            <a:contourClr>
              <a:schemeClr val="lt1"/>
            </a:contourClr>
          </a:sp3d>
        </c:spPr>
      </c:pivotFmt>
      <c:pivotFmt>
        <c:idx val="26"/>
        <c:spPr>
          <a:solidFill>
            <a:srgbClr val="8783D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s>
    <c:view3D>
      <c:rotX val="30"/>
      <c:rotY val="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c:f>
              <c:strCache>
                <c:ptCount val="1"/>
                <c:pt idx="0">
                  <c:v>Percentage</c:v>
                </c:pt>
              </c:strCache>
            </c:strRef>
          </c:tx>
          <c:spPr>
            <a:solidFill>
              <a:schemeClr val="accent4">
                <a:lumMod val="75000"/>
              </a:schemeClr>
            </a:solidFill>
            <a:effectLst/>
          </c:spPr>
          <c:explosion val="5"/>
          <c:dPt>
            <c:idx val="0"/>
            <c:bubble3D val="0"/>
            <c:spPr>
              <a:solidFill>
                <a:srgbClr val="E3B9BC"/>
              </a:solidFill>
              <a:ln w="25400">
                <a:solidFill>
                  <a:schemeClr val="lt1"/>
                </a:solidFill>
              </a:ln>
              <a:effectLst/>
              <a:sp3d contourW="25400">
                <a:contourClr>
                  <a:schemeClr val="lt1"/>
                </a:contourClr>
              </a:sp3d>
            </c:spPr>
            <c:extLst>
              <c:ext xmlns:c16="http://schemas.microsoft.com/office/drawing/2014/chart" uri="{C3380CC4-5D6E-409C-BE32-E72D297353CC}">
                <c16:uniqueId val="{00000001-B640-429C-BC6C-FC6FCB8FDA4F}"/>
              </c:ext>
            </c:extLst>
          </c:dPt>
          <c:dPt>
            <c:idx val="1"/>
            <c:bubble3D val="0"/>
            <c:spPr>
              <a:solidFill>
                <a:srgbClr val="8783D1"/>
              </a:solidFill>
              <a:ln w="25400">
                <a:solidFill>
                  <a:schemeClr val="lt1"/>
                </a:solidFill>
              </a:ln>
              <a:effectLst/>
              <a:sp3d contourW="25400">
                <a:contourClr>
                  <a:schemeClr val="lt1"/>
                </a:contourClr>
              </a:sp3d>
            </c:spPr>
            <c:extLst>
              <c:ext xmlns:c16="http://schemas.microsoft.com/office/drawing/2014/chart" uri="{C3380CC4-5D6E-409C-BE32-E72D297353CC}">
                <c16:uniqueId val="{00000003-B640-429C-BC6C-FC6FCB8FDA4F}"/>
              </c:ext>
            </c:extLst>
          </c:dPt>
          <c:dLbls>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Pivot!$A$2:$A$4</c:f>
              <c:strCache>
                <c:ptCount val="2"/>
                <c:pt idx="0">
                  <c:v>Female</c:v>
                </c:pt>
                <c:pt idx="1">
                  <c:v>Male</c:v>
                </c:pt>
              </c:strCache>
            </c:strRef>
          </c:cat>
          <c:val>
            <c:numRef>
              <c:f>Pivot!$B$2:$B$4</c:f>
              <c:numCache>
                <c:formatCode>0%</c:formatCode>
                <c:ptCount val="2"/>
                <c:pt idx="0">
                  <c:v>0.48830409356725146</c:v>
                </c:pt>
                <c:pt idx="1">
                  <c:v>0.51169590643274854</c:v>
                </c:pt>
              </c:numCache>
            </c:numRef>
          </c:val>
          <c:extLst>
            <c:ext xmlns:c16="http://schemas.microsoft.com/office/drawing/2014/chart" uri="{C3380CC4-5D6E-409C-BE32-E72D297353CC}">
              <c16:uniqueId val="{00000004-B640-429C-BC6C-FC6FCB8FDA4F}"/>
            </c:ext>
          </c:extLst>
        </c:ser>
        <c:ser>
          <c:idx val="1"/>
          <c:order val="1"/>
          <c:tx>
            <c:strRef>
              <c:f>Pivot!$C$1</c:f>
              <c:strCache>
                <c:ptCount val="1"/>
                <c:pt idx="0">
                  <c:v>Number Of Purhased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6-B640-429C-BC6C-FC6FCB8FDA4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8-B640-429C-BC6C-FC6FCB8FDA4F}"/>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Pivot!$A$2:$A$4</c:f>
              <c:strCache>
                <c:ptCount val="2"/>
                <c:pt idx="0">
                  <c:v>Female</c:v>
                </c:pt>
                <c:pt idx="1">
                  <c:v>Male</c:v>
                </c:pt>
              </c:strCache>
            </c:strRef>
          </c:cat>
          <c:val>
            <c:numRef>
              <c:f>Pivot!$C$2:$C$4</c:f>
              <c:numCache>
                <c:formatCode>_(* #,##0_);_(* \(#,##0\);_(* "-"??_);_(@_)</c:formatCode>
                <c:ptCount val="2"/>
                <c:pt idx="0">
                  <c:v>501</c:v>
                </c:pt>
                <c:pt idx="1">
                  <c:v>525</c:v>
                </c:pt>
              </c:numCache>
            </c:numRef>
          </c:val>
          <c:extLst>
            <c:ext xmlns:c16="http://schemas.microsoft.com/office/drawing/2014/chart" uri="{C3380CC4-5D6E-409C-BE32-E72D297353CC}">
              <c16:uniqueId val="{00000009-B640-429C-BC6C-FC6FCB8FDA4F}"/>
            </c:ext>
          </c:extLst>
        </c:ser>
        <c:dLbls>
          <c:dLblPos val="bestFit"/>
          <c:showLegendKey val="0"/>
          <c:showVal val="1"/>
          <c:showCatName val="0"/>
          <c:showSerName val="0"/>
          <c:showPercent val="0"/>
          <c:showBubbleSize val="0"/>
          <c:showLeaderLines val="0"/>
        </c:dLbls>
      </c:pie3DChart>
      <c:spPr>
        <a:noFill/>
        <a:ln>
          <a:noFill/>
        </a:ln>
        <a:effectLst>
          <a:softEdge rad="127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sz="10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Gender-wise Percentage of Bike Purchases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Bike_Sale_Worksheet_dashboard!$S$43</c:f>
              <c:strCache>
                <c:ptCount val="1"/>
                <c:pt idx="0">
                  <c:v>Female</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Bike_Sale_Worksheet_dashboard!$T$43:$V$43</c15:sqref>
                  </c15:fullRef>
                </c:ext>
              </c:extLst>
              <c:f>Bike_Sale_Worksheet_dashboard!$V$43</c:f>
              <c:numCache>
                <c:formatCode>General</c:formatCode>
                <c:ptCount val="1"/>
                <c:pt idx="0" formatCode="0.00">
                  <c:v>48.50299401197605</c:v>
                </c:pt>
              </c:numCache>
            </c:numRef>
          </c:val>
          <c:extLst xmlns:c15="http://schemas.microsoft.com/office/drawing/2012/chart">
            <c:ext xmlns:c16="http://schemas.microsoft.com/office/drawing/2014/chart" uri="{C3380CC4-5D6E-409C-BE32-E72D297353CC}">
              <c16:uniqueId val="{00000000-D127-4F8F-BA3D-A4B03DBA6618}"/>
            </c:ext>
          </c:extLst>
        </c:ser>
        <c:ser>
          <c:idx val="1"/>
          <c:order val="1"/>
          <c:tx>
            <c:strRef>
              <c:f>Bike_Sale_Worksheet_dashboard!$S$44</c:f>
              <c:strCache>
                <c:ptCount val="1"/>
                <c:pt idx="0">
                  <c:v>Male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Bike_Sale_Worksheet_dashboard!$T$44:$V$44</c15:sqref>
                  </c15:fullRef>
                </c:ext>
              </c:extLst>
              <c:f>Bike_Sale_Worksheet_dashboard!$V$44</c:f>
              <c:numCache>
                <c:formatCode>General</c:formatCode>
                <c:ptCount val="1"/>
                <c:pt idx="0" formatCode="0.00">
                  <c:v>48</c:v>
                </c:pt>
              </c:numCache>
            </c:numRef>
          </c:val>
          <c:extLst xmlns:c15="http://schemas.microsoft.com/office/drawing/2012/chart">
            <c:ext xmlns:c16="http://schemas.microsoft.com/office/drawing/2014/chart" uri="{C3380CC4-5D6E-409C-BE32-E72D297353CC}">
              <c16:uniqueId val="{00000001-D127-4F8F-BA3D-A4B03DBA6618}"/>
            </c:ext>
          </c:extLst>
        </c:ser>
        <c:dLbls>
          <c:dLblPos val="inEnd"/>
          <c:showLegendKey val="0"/>
          <c:showVal val="1"/>
          <c:showCatName val="0"/>
          <c:showSerName val="0"/>
          <c:showPercent val="0"/>
          <c:showBubbleSize val="0"/>
        </c:dLbls>
        <c:gapWidth val="182"/>
        <c:axId val="860235039"/>
        <c:axId val="860233599"/>
        <c:extLst/>
      </c:barChart>
      <c:catAx>
        <c:axId val="8602350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3599"/>
        <c:crosses val="autoZero"/>
        <c:auto val="1"/>
        <c:lblAlgn val="ctr"/>
        <c:lblOffset val="100"/>
        <c:noMultiLvlLbl val="0"/>
      </c:catAx>
      <c:valAx>
        <c:axId val="860233599"/>
        <c:scaling>
          <c:orientation val="minMax"/>
          <c:max val="50"/>
          <c:min val="0"/>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5039"/>
        <c:crosses val="autoZero"/>
        <c:crossBetween val="between"/>
      </c:valAx>
      <c:spPr>
        <a:noFill/>
        <a:ln>
          <a:noFill/>
        </a:ln>
        <a:effectLst/>
      </c:spPr>
    </c:plotArea>
    <c:plotVisOnly val="1"/>
    <c:dispBlanksAs val="gap"/>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Age Range by Marital Status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Bike_Sale_Worksheet_dashboard!$S$22</c:f>
              <c:strCache>
                <c:ptCount val="1"/>
                <c:pt idx="0">
                  <c:v>Married</c:v>
                </c:pt>
              </c:strCache>
            </c:strRef>
          </c:tx>
          <c:spPr>
            <a:solidFill>
              <a:srgbClr val="E3B9BC"/>
            </a:solidFill>
            <a:ln>
              <a:solidFill>
                <a:schemeClr val="bg1"/>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Bike_Sale_Worksheet_dashboard!$T$22:$V$22</c:f>
              <c:numCache>
                <c:formatCode>General</c:formatCode>
                <c:ptCount val="3"/>
                <c:pt idx="0">
                  <c:v>25</c:v>
                </c:pt>
                <c:pt idx="1">
                  <c:v>89</c:v>
                </c:pt>
                <c:pt idx="2" formatCode="0.00">
                  <c:v>46.357012750455375</c:v>
                </c:pt>
              </c:numCache>
            </c:numRef>
          </c:val>
          <c:extLst>
            <c:ext xmlns:c16="http://schemas.microsoft.com/office/drawing/2014/chart" uri="{C3380CC4-5D6E-409C-BE32-E72D297353CC}">
              <c16:uniqueId val="{00000000-3320-4C4B-BC71-40A8A218CF99}"/>
            </c:ext>
          </c:extLst>
        </c:ser>
        <c:ser>
          <c:idx val="1"/>
          <c:order val="1"/>
          <c:tx>
            <c:strRef>
              <c:f>Bike_Sale_Worksheet_dashboard!$S$23</c:f>
              <c:strCache>
                <c:ptCount val="1"/>
                <c:pt idx="0">
                  <c:v>Single</c:v>
                </c:pt>
              </c:strCache>
            </c:strRef>
          </c:tx>
          <c:spPr>
            <a:solidFill>
              <a:srgbClr val="8783D1"/>
            </a:solidFill>
            <a:ln>
              <a:solidFill>
                <a:schemeClr val="bg1"/>
              </a:solidFill>
            </a:ln>
            <a:effectLst/>
          </c:spPr>
          <c:invertIfNegative val="0"/>
          <c:dLbls>
            <c:dLbl>
              <c:idx val="2"/>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0-A0DD-4AB2-8BF3-61991C2CBEA6}"/>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Bike_Sale_Worksheet_dashboard!$T$23:$V$23</c:f>
              <c:numCache>
                <c:formatCode>General</c:formatCode>
                <c:ptCount val="3"/>
                <c:pt idx="0">
                  <c:v>25</c:v>
                </c:pt>
                <c:pt idx="1">
                  <c:v>78</c:v>
                </c:pt>
                <c:pt idx="2" formatCode="0.00">
                  <c:v>41.584905660377359</c:v>
                </c:pt>
              </c:numCache>
            </c:numRef>
          </c:val>
          <c:extLst>
            <c:ext xmlns:c16="http://schemas.microsoft.com/office/drawing/2014/chart" uri="{C3380CC4-5D6E-409C-BE32-E72D297353CC}">
              <c16:uniqueId val="{00000001-3320-4C4B-BC71-40A8A218CF99}"/>
            </c:ext>
          </c:extLst>
        </c:ser>
        <c:dLbls>
          <c:dLblPos val="inEnd"/>
          <c:showLegendKey val="0"/>
          <c:showVal val="1"/>
          <c:showCatName val="0"/>
          <c:showSerName val="0"/>
          <c:showPercent val="0"/>
          <c:showBubbleSize val="0"/>
        </c:dLbls>
        <c:gapWidth val="182"/>
        <c:axId val="829062367"/>
        <c:axId val="829063807"/>
      </c:barChart>
      <c:catAx>
        <c:axId val="829062367"/>
        <c:scaling>
          <c:orientation val="minMax"/>
        </c:scaling>
        <c:delete val="0"/>
        <c:axPos val="l"/>
        <c:numFmt formatCode="General" sourceLinked="1"/>
        <c:majorTickMark val="none"/>
        <c:minorTickMark val="none"/>
        <c:tickLblPos val="nextTo"/>
        <c:spPr>
          <a:noFill/>
          <a:ln w="0"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3807"/>
        <c:crosses val="autoZero"/>
        <c:auto val="1"/>
        <c:lblAlgn val="ctr"/>
        <c:lblOffset val="100"/>
        <c:noMultiLvlLbl val="0"/>
      </c:catAx>
      <c:valAx>
        <c:axId val="829063807"/>
        <c:scaling>
          <c:orientation val="minMax"/>
        </c:scaling>
        <c:delete val="0"/>
        <c:axPos val="b"/>
        <c:majorGridlines>
          <c:spPr>
            <a:ln w="0"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Average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0">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2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Percentage of Bike Purchases by Marital Status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2"/>
          <c:order val="2"/>
          <c:tx>
            <c:strRef>
              <c:f>Bike_Sale_Worksheet_dashboard!$V$62</c:f>
              <c:strCache>
                <c:ptCount val="1"/>
                <c:pt idx="0">
                  <c:v>Percentage</c:v>
                </c:pt>
              </c:strCache>
            </c:strRef>
          </c:tx>
          <c:spPr>
            <a:solidFill>
              <a:srgbClr val="8783D1"/>
            </a:solidFill>
            <a:ln>
              <a:noFill/>
            </a:ln>
            <a:effectLst/>
          </c:spPr>
          <c:invertIfNegative val="0"/>
          <c:dPt>
            <c:idx val="0"/>
            <c:invertIfNegative val="0"/>
            <c:bubble3D val="0"/>
            <c:spPr>
              <a:solidFill>
                <a:srgbClr val="D1ABAD"/>
              </a:solidFill>
              <a:ln>
                <a:noFill/>
              </a:ln>
              <a:effectLst/>
            </c:spPr>
            <c:extLst>
              <c:ext xmlns:c16="http://schemas.microsoft.com/office/drawing/2014/chart" uri="{C3380CC4-5D6E-409C-BE32-E72D297353CC}">
                <c16:uniqueId val="{00000004-7840-4458-9E1F-A17C772D2DC7}"/>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Bike_Sale_Worksheet_dashboard!$S$63:$S$64</c:f>
              <c:strCache>
                <c:ptCount val="2"/>
                <c:pt idx="0">
                  <c:v>Married</c:v>
                </c:pt>
                <c:pt idx="1">
                  <c:v>Single</c:v>
                </c:pt>
              </c:strCache>
            </c:strRef>
          </c:cat>
          <c:val>
            <c:numRef>
              <c:f>Bike_Sale_Worksheet_dashboard!$V$63:$V$64</c:f>
              <c:numCache>
                <c:formatCode>0.00</c:formatCode>
                <c:ptCount val="2"/>
                <c:pt idx="0">
                  <c:v>42.987249544626593</c:v>
                </c:pt>
                <c:pt idx="1">
                  <c:v>54.297693920335433</c:v>
                </c:pt>
              </c:numCache>
            </c:numRef>
          </c:val>
          <c:extLst>
            <c:ext xmlns:c16="http://schemas.microsoft.com/office/drawing/2014/chart" uri="{C3380CC4-5D6E-409C-BE32-E72D297353CC}">
              <c16:uniqueId val="{00000003-7840-4458-9E1F-A17C772D2DC7}"/>
            </c:ext>
          </c:extLst>
        </c:ser>
        <c:dLbls>
          <c:dLblPos val="outEnd"/>
          <c:showLegendKey val="0"/>
          <c:showVal val="1"/>
          <c:showCatName val="0"/>
          <c:showSerName val="0"/>
          <c:showPercent val="0"/>
          <c:showBubbleSize val="0"/>
        </c:dLbls>
        <c:gapWidth val="182"/>
        <c:axId val="981761839"/>
        <c:axId val="981763279"/>
        <c:extLst>
          <c:ext xmlns:c15="http://schemas.microsoft.com/office/drawing/2012/chart" uri="{02D57815-91ED-43cb-92C2-25804820EDAC}">
            <c15:filteredBarSeries>
              <c15:ser>
                <c:idx val="0"/>
                <c:order val="0"/>
                <c:tx>
                  <c:strRef>
                    <c:extLst>
                      <c:ext uri="{02D57815-91ED-43cb-92C2-25804820EDAC}">
                        <c15:formulaRef>
                          <c15:sqref>Bike_Sale_Worksheet_dashboard!$T$62</c15:sqref>
                        </c15:formulaRef>
                      </c:ext>
                    </c:extLst>
                    <c:strCache>
                      <c:ptCount val="1"/>
                      <c:pt idx="0">
                        <c:v>Total Customer</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Bike_Sale_Worksheet_dashboard!$S$63:$S$64</c15:sqref>
                        </c15:formulaRef>
                      </c:ext>
                    </c:extLst>
                    <c:strCache>
                      <c:ptCount val="2"/>
                      <c:pt idx="0">
                        <c:v>Married</c:v>
                      </c:pt>
                      <c:pt idx="1">
                        <c:v>Single</c:v>
                      </c:pt>
                    </c:strCache>
                  </c:strRef>
                </c:cat>
                <c:val>
                  <c:numRef>
                    <c:extLst>
                      <c:ext uri="{02D57815-91ED-43cb-92C2-25804820EDAC}">
                        <c15:formulaRef>
                          <c15:sqref>Bike_Sale_Worksheet_dashboard!$T$63:$T$64</c15:sqref>
                        </c15:formulaRef>
                      </c:ext>
                    </c:extLst>
                    <c:numCache>
                      <c:formatCode>General</c:formatCode>
                      <c:ptCount val="2"/>
                      <c:pt idx="0">
                        <c:v>549</c:v>
                      </c:pt>
                      <c:pt idx="1">
                        <c:v>477</c:v>
                      </c:pt>
                    </c:numCache>
                  </c:numRef>
                </c:val>
                <c:extLst>
                  <c:ext xmlns:c16="http://schemas.microsoft.com/office/drawing/2014/chart" uri="{C3380CC4-5D6E-409C-BE32-E72D297353CC}">
                    <c16:uniqueId val="{00000000-7840-4458-9E1F-A17C772D2DC7}"/>
                  </c:ext>
                </c:extLst>
              </c15:ser>
            </c15:filteredBarSeries>
            <c15:filteredBarSeries>
              <c15:ser>
                <c:idx val="1"/>
                <c:order val="1"/>
                <c:tx>
                  <c:strRef>
                    <c:extLst>
                      <c:ext xmlns:c15="http://schemas.microsoft.com/office/drawing/2012/chart" uri="{02D57815-91ED-43cb-92C2-25804820EDAC}">
                        <c15:formulaRef>
                          <c15:sqref>Bike_Sale_Worksheet_dashboard!$U$62</c15:sqref>
                        </c15:formulaRef>
                      </c:ext>
                    </c:extLst>
                    <c:strCache>
                      <c:ptCount val="1"/>
                      <c:pt idx="0">
                        <c:v>Num Purchased Bike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Bike_Sale_Worksheet_dashboard!$S$63:$S$64</c15:sqref>
                        </c15:formulaRef>
                      </c:ext>
                    </c:extLst>
                    <c:strCache>
                      <c:ptCount val="2"/>
                      <c:pt idx="0">
                        <c:v>Married</c:v>
                      </c:pt>
                      <c:pt idx="1">
                        <c:v>Single</c:v>
                      </c:pt>
                    </c:strCache>
                  </c:strRef>
                </c:cat>
                <c:val>
                  <c:numRef>
                    <c:extLst>
                      <c:ext xmlns:c15="http://schemas.microsoft.com/office/drawing/2012/chart" uri="{02D57815-91ED-43cb-92C2-25804820EDAC}">
                        <c15:formulaRef>
                          <c15:sqref>Bike_Sale_Worksheet_dashboard!$U$63:$U$64</c15:sqref>
                        </c15:formulaRef>
                      </c:ext>
                    </c:extLst>
                    <c:numCache>
                      <c:formatCode>General</c:formatCode>
                      <c:ptCount val="2"/>
                      <c:pt idx="0">
                        <c:v>236</c:v>
                      </c:pt>
                      <c:pt idx="1">
                        <c:v>259</c:v>
                      </c:pt>
                    </c:numCache>
                  </c:numRef>
                </c:val>
                <c:extLst xmlns:c15="http://schemas.microsoft.com/office/drawing/2012/chart">
                  <c:ext xmlns:c16="http://schemas.microsoft.com/office/drawing/2014/chart" uri="{C3380CC4-5D6E-409C-BE32-E72D297353CC}">
                    <c16:uniqueId val="{00000001-7840-4458-9E1F-A17C772D2DC7}"/>
                  </c:ext>
                </c:extLst>
              </c15:ser>
            </c15:filteredBarSeries>
          </c:ext>
        </c:extLst>
      </c:barChart>
      <c:catAx>
        <c:axId val="9817618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3279"/>
        <c:crosses val="autoZero"/>
        <c:auto val="1"/>
        <c:lblAlgn val="ctr"/>
        <c:lblOffset val="100"/>
        <c:noMultiLvlLbl val="0"/>
      </c:catAx>
      <c:valAx>
        <c:axId val="981763279"/>
        <c:scaling>
          <c:orientation val="minMax"/>
          <c:max val="60"/>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1839"/>
        <c:crosses val="autoZero"/>
        <c:crossBetween val="between"/>
        <c:dispUnits>
          <c:builtInUnit val="hundred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[Bike_Sale_Worksheet_dashboard.xlsm]Pivot!PivotTable12</c:name>
    <c:fmtId val="1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Proportion of Bike Buyers by Region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pivotFmt>
      <c:pivotFmt>
        <c:idx val="2"/>
        <c:spPr>
          <a:solidFill>
            <a:schemeClr val="accent5">
              <a:lumMod val="60000"/>
              <a:lumOff val="40000"/>
            </a:schemeClr>
          </a:solidFill>
          <a:ln>
            <a:noFill/>
          </a:ln>
          <a:effectLst/>
        </c:spPr>
      </c:pivotFmt>
      <c:pivotFmt>
        <c:idx val="3"/>
        <c:spPr>
          <a:solidFill>
            <a:schemeClr val="accent5">
              <a:lumMod val="50000"/>
            </a:schemeClr>
          </a:solidFill>
          <a:ln>
            <a:noFill/>
          </a:ln>
          <a:effectLst/>
        </c:spPr>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50000"/>
            </a:schemeClr>
          </a:solidFill>
          <a:ln>
            <a:noFill/>
          </a:ln>
          <a:effectLst/>
        </c:spPr>
      </c:pivotFmt>
      <c:pivotFmt>
        <c:idx val="8"/>
        <c:spPr>
          <a:solidFill>
            <a:schemeClr val="accent5">
              <a:lumMod val="60000"/>
              <a:lumOff val="40000"/>
            </a:schemeClr>
          </a:solidFill>
          <a:ln>
            <a:noFill/>
          </a:ln>
          <a:effectLst/>
        </c:spPr>
      </c:pivotFmt>
      <c:pivotFmt>
        <c:idx val="9"/>
        <c:spPr>
          <a:solidFill>
            <a:schemeClr val="accent5"/>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50000"/>
            </a:schemeClr>
          </a:solidFill>
          <a:ln>
            <a:noFill/>
          </a:ln>
          <a:effectLst/>
        </c:spPr>
      </c:pivotFmt>
      <c:pivotFmt>
        <c:idx val="12"/>
        <c:spPr>
          <a:solidFill>
            <a:schemeClr val="accent5">
              <a:lumMod val="60000"/>
              <a:lumOff val="40000"/>
            </a:schemeClr>
          </a:solidFill>
          <a:ln>
            <a:noFill/>
          </a:ln>
          <a:effectLst/>
        </c:spPr>
      </c:pivotFmt>
      <c:pivotFmt>
        <c:idx val="13"/>
        <c:spPr>
          <a:solidFill>
            <a:schemeClr val="accent5"/>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a:noFill/>
          </a:ln>
          <a:effectLst/>
        </c:spPr>
      </c:pivotFmt>
      <c:pivotFmt>
        <c:idx val="16"/>
        <c:spPr>
          <a:solidFill>
            <a:schemeClr val="accent5">
              <a:lumMod val="60000"/>
              <a:lumOff val="40000"/>
            </a:schemeClr>
          </a:solidFill>
          <a:ln>
            <a:noFill/>
          </a:ln>
          <a:effectLst/>
        </c:spPr>
      </c:pivotFmt>
      <c:pivotFmt>
        <c:idx val="17"/>
        <c:spPr>
          <a:solidFill>
            <a:schemeClr val="accent5"/>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AA9ABA"/>
          </a:solidFill>
          <a:ln>
            <a:noFill/>
          </a:ln>
          <a:effectLst/>
        </c:spPr>
      </c:pivotFmt>
      <c:pivotFmt>
        <c:idx val="20"/>
        <c:spPr>
          <a:solidFill>
            <a:srgbClr val="D1ABAD"/>
          </a:solidFill>
          <a:ln>
            <a:noFill/>
          </a:ln>
          <a:effectLst/>
        </c:spPr>
      </c:pivotFmt>
      <c:pivotFmt>
        <c:idx val="21"/>
        <c:spPr>
          <a:solidFill>
            <a:srgbClr val="8783D1"/>
          </a:solidFill>
          <a:ln>
            <a:noFill/>
          </a:ln>
          <a:effectLst/>
        </c:spPr>
      </c:pivotFmt>
    </c:pivotFmts>
    <c:plotArea>
      <c:layout/>
      <c:barChart>
        <c:barDir val="bar"/>
        <c:grouping val="clustered"/>
        <c:varyColors val="0"/>
        <c:ser>
          <c:idx val="0"/>
          <c:order val="0"/>
          <c:tx>
            <c:strRef>
              <c:f>Pivot!$B$72</c:f>
              <c:strCache>
                <c:ptCount val="1"/>
                <c:pt idx="0">
                  <c:v>Total</c:v>
                </c:pt>
              </c:strCache>
            </c:strRef>
          </c:tx>
          <c:spPr>
            <a:solidFill>
              <a:schemeClr val="accent1"/>
            </a:solidFill>
            <a:ln>
              <a:noFill/>
            </a:ln>
            <a:effectLst/>
          </c:spPr>
          <c:invertIfNegative val="0"/>
          <c:dPt>
            <c:idx val="0"/>
            <c:invertIfNegative val="0"/>
            <c:bubble3D val="0"/>
            <c:spPr>
              <a:solidFill>
                <a:srgbClr val="AA9ABA"/>
              </a:solidFill>
              <a:ln>
                <a:noFill/>
              </a:ln>
              <a:effectLst/>
            </c:spPr>
            <c:extLst>
              <c:ext xmlns:c16="http://schemas.microsoft.com/office/drawing/2014/chart" uri="{C3380CC4-5D6E-409C-BE32-E72D297353CC}">
                <c16:uniqueId val="{00000001-E53B-47B8-8BDF-CAAF9201EB8C}"/>
              </c:ext>
            </c:extLst>
          </c:dPt>
          <c:dPt>
            <c:idx val="1"/>
            <c:invertIfNegative val="0"/>
            <c:bubble3D val="0"/>
            <c:spPr>
              <a:solidFill>
                <a:srgbClr val="D1ABAD"/>
              </a:solidFill>
              <a:ln>
                <a:noFill/>
              </a:ln>
              <a:effectLst/>
            </c:spPr>
            <c:extLst>
              <c:ext xmlns:c16="http://schemas.microsoft.com/office/drawing/2014/chart" uri="{C3380CC4-5D6E-409C-BE32-E72D297353CC}">
                <c16:uniqueId val="{00000003-E53B-47B8-8BDF-CAAF9201EB8C}"/>
              </c:ext>
            </c:extLst>
          </c:dPt>
          <c:dPt>
            <c:idx val="2"/>
            <c:invertIfNegative val="0"/>
            <c:bubble3D val="0"/>
            <c:spPr>
              <a:solidFill>
                <a:srgbClr val="8783D1"/>
              </a:solidFill>
              <a:ln>
                <a:noFill/>
              </a:ln>
              <a:effectLst/>
            </c:spPr>
            <c:extLst>
              <c:ext xmlns:c16="http://schemas.microsoft.com/office/drawing/2014/chart" uri="{C3380CC4-5D6E-409C-BE32-E72D297353CC}">
                <c16:uniqueId val="{00000005-E53B-47B8-8BDF-CAAF9201EB8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Pivot!$A$73:$A$76</c:f>
              <c:strCache>
                <c:ptCount val="3"/>
                <c:pt idx="0">
                  <c:v>North America</c:v>
                </c:pt>
                <c:pt idx="1">
                  <c:v>Europe</c:v>
                </c:pt>
                <c:pt idx="2">
                  <c:v>Pacific</c:v>
                </c:pt>
              </c:strCache>
            </c:strRef>
          </c:cat>
          <c:val>
            <c:numRef>
              <c:f>Pivot!$B$73:$B$76</c:f>
              <c:numCache>
                <c:formatCode>0%</c:formatCode>
                <c:ptCount val="3"/>
                <c:pt idx="0">
                  <c:v>0.44444444444444442</c:v>
                </c:pt>
                <c:pt idx="1">
                  <c:v>0.31515151515151513</c:v>
                </c:pt>
                <c:pt idx="2">
                  <c:v>0.2404040404040404</c:v>
                </c:pt>
              </c:numCache>
            </c:numRef>
          </c:val>
          <c:extLst>
            <c:ext xmlns:c16="http://schemas.microsoft.com/office/drawing/2014/chart" uri="{C3380CC4-5D6E-409C-BE32-E72D297353CC}">
              <c16:uniqueId val="{00000006-E53B-47B8-8BDF-CAAF9201EB8C}"/>
            </c:ext>
          </c:extLst>
        </c:ser>
        <c:dLbls>
          <c:dLblPos val="inEnd"/>
          <c:showLegendKey val="0"/>
          <c:showVal val="1"/>
          <c:showCatName val="0"/>
          <c:showSerName val="0"/>
          <c:showPercent val="0"/>
          <c:showBubbleSize val="0"/>
        </c:dLbls>
        <c:gapWidth val="182"/>
        <c:axId val="981762799"/>
        <c:axId val="981765199"/>
      </c:barChart>
      <c:catAx>
        <c:axId val="98176279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5199"/>
        <c:crosses val="autoZero"/>
        <c:auto val="1"/>
        <c:lblAlgn val="ctr"/>
        <c:lblOffset val="100"/>
        <c:noMultiLvlLbl val="0"/>
      </c:catAx>
      <c:valAx>
        <c:axId val="981765199"/>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27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r>
              <a:rPr lang="en-US"/>
              <a:t>Income Distribution of </a:t>
            </a:r>
          </a:p>
          <a:p>
            <a:pPr>
              <a:defRPr/>
            </a:pPr>
            <a:r>
              <a:rPr lang="en-US"/>
              <a:t>Bike Purchasers vs. Non-Purchasers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c:f>
              <c:strCache>
                <c:ptCount val="1"/>
                <c:pt idx="0">
                  <c:v>Yes</c:v>
                </c:pt>
              </c:strCache>
            </c:strRef>
          </c:tx>
          <c:spPr>
            <a:solidFill>
              <a:srgbClr val="D1ABAD"/>
            </a:solidFill>
            <a:ln>
              <a:solidFill>
                <a:schemeClr val="bg1"/>
              </a:solidFill>
            </a:ln>
            <a:effectLst/>
          </c:spPr>
          <c:invertIfNegative val="0"/>
          <c:dLbls>
            <c:numFmt formatCode="&quot;$&quot;#,##0" sourceLinked="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Bike_Sale_Worksheet_dashboard!$T$2:$X$2</c:f>
              <c:numCache>
                <c:formatCode>General</c:formatCode>
                <c:ptCount val="5"/>
                <c:pt idx="0">
                  <c:v>10000</c:v>
                </c:pt>
                <c:pt idx="1">
                  <c:v>170000</c:v>
                </c:pt>
                <c:pt idx="2">
                  <c:v>57474.747474747477</c:v>
                </c:pt>
                <c:pt idx="3" formatCode="0">
                  <c:v>31045.983733139608</c:v>
                </c:pt>
                <c:pt idx="4">
                  <c:v>60000</c:v>
                </c:pt>
              </c:numCache>
            </c:numRef>
          </c:val>
          <c:extLst>
            <c:ext xmlns:c16="http://schemas.microsoft.com/office/drawing/2014/chart" uri="{C3380CC4-5D6E-409C-BE32-E72D297353CC}">
              <c16:uniqueId val="{00000000-6F7E-4D4A-B510-0BFEBD1E67C0}"/>
            </c:ext>
          </c:extLst>
        </c:ser>
        <c:ser>
          <c:idx val="1"/>
          <c:order val="1"/>
          <c:tx>
            <c:strRef>
              <c:f>Bike_Sale_Worksheet_dashboard!$S$3</c:f>
              <c:strCache>
                <c:ptCount val="1"/>
                <c:pt idx="0">
                  <c:v>No</c:v>
                </c:pt>
              </c:strCache>
            </c:strRef>
          </c:tx>
          <c:spPr>
            <a:solidFill>
              <a:srgbClr val="8783D1"/>
            </a:solidFill>
            <a:ln>
              <a:solidFill>
                <a:schemeClr val="bg1"/>
              </a:solidFill>
            </a:ln>
            <a:effectLst/>
          </c:spPr>
          <c:invertIfNegative val="0"/>
          <c:dLbls>
            <c:numFmt formatCode="&quot;$&quot;#,##0" sourceLinked="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Bike_Sale_Worksheet_dashboard!$T$3:$X$3</c:f>
              <c:numCache>
                <c:formatCode>General</c:formatCode>
                <c:ptCount val="5"/>
                <c:pt idx="0">
                  <c:v>10000</c:v>
                </c:pt>
                <c:pt idx="1">
                  <c:v>170000</c:v>
                </c:pt>
                <c:pt idx="2">
                  <c:v>55028.248587570619</c:v>
                </c:pt>
                <c:pt idx="3" formatCode="0">
                  <c:v>31505.452546096116</c:v>
                </c:pt>
                <c:pt idx="4">
                  <c:v>60000</c:v>
                </c:pt>
              </c:numCache>
            </c:numRef>
          </c:val>
          <c:extLst>
            <c:ext xmlns:c16="http://schemas.microsoft.com/office/drawing/2014/chart" uri="{C3380CC4-5D6E-409C-BE32-E72D297353CC}">
              <c16:uniqueId val="{00000001-6F7E-4D4A-B510-0BFEBD1E67C0}"/>
            </c:ext>
          </c:extLst>
        </c:ser>
        <c:dLbls>
          <c:dLblPos val="outEnd"/>
          <c:showLegendKey val="0"/>
          <c:showVal val="1"/>
          <c:showCatName val="0"/>
          <c:showSerName val="0"/>
          <c:showPercent val="0"/>
          <c:showBubbleSize val="0"/>
        </c:dLbls>
        <c:gapWidth val="182"/>
        <c:axId val="683084720"/>
        <c:axId val="683083280"/>
      </c:barChart>
      <c:catAx>
        <c:axId val="683084720"/>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83083280"/>
        <c:crosses val="autoZero"/>
        <c:auto val="1"/>
        <c:lblAlgn val="ctr"/>
        <c:lblOffset val="100"/>
        <c:noMultiLvlLbl val="0"/>
      </c:catAx>
      <c:valAx>
        <c:axId val="683083280"/>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a:t>Income</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83084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sz="1200" b="1">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[Bike_Sale_Worksheet_dashboard.xlsm]Pivot!PivotTable13</c:name>
    <c:fmtId val="1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Impact of Children on Bike Purchases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solidFill>
              <a:schemeClr val="bg1"/>
            </a:solidFill>
          </a:ln>
          <a:effectLst/>
        </c:spPr>
      </c:pivotFmt>
      <c:pivotFmt>
        <c:idx val="3"/>
        <c:spPr>
          <a:solidFill>
            <a:schemeClr val="accent4">
              <a:lumMod val="75000"/>
            </a:schemeClr>
          </a:solidFill>
          <a:ln>
            <a:solidFill>
              <a:schemeClr val="bg1"/>
            </a:solidFill>
          </a:ln>
          <a:effectLst/>
        </c:spPr>
      </c:pivotFmt>
      <c:pivotFmt>
        <c:idx val="4"/>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3B9BC"/>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Pivot!$B$109:$B$110</c:f>
              <c:strCache>
                <c:ptCount val="1"/>
                <c:pt idx="0">
                  <c:v>Have Child</c:v>
                </c:pt>
              </c:strCache>
            </c:strRef>
          </c:tx>
          <c:spPr>
            <a:solidFill>
              <a:srgbClr val="E3B9BC"/>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Pivot!$B$111:$B$113</c:f>
              <c:numCache>
                <c:formatCode>0%</c:formatCode>
                <c:ptCount val="2"/>
                <c:pt idx="0">
                  <c:v>0.52645861601085486</c:v>
                </c:pt>
                <c:pt idx="1">
                  <c:v>0.47354138398914519</c:v>
                </c:pt>
              </c:numCache>
            </c:numRef>
          </c:val>
          <c:extLst>
            <c:ext xmlns:c16="http://schemas.microsoft.com/office/drawing/2014/chart" uri="{C3380CC4-5D6E-409C-BE32-E72D297353CC}">
              <c16:uniqueId val="{00000000-84BD-4768-BAD3-20B2E24C10C5}"/>
            </c:ext>
          </c:extLst>
        </c:ser>
        <c:ser>
          <c:idx val="1"/>
          <c:order val="1"/>
          <c:tx>
            <c:strRef>
              <c:f>Pivot!$C$109:$C$110</c:f>
              <c:strCache>
                <c:ptCount val="1"/>
                <c:pt idx="0">
                  <c:v>NoChild</c:v>
                </c:pt>
              </c:strCache>
            </c:strRef>
          </c:tx>
          <c:spPr>
            <a:solidFill>
              <a:srgbClr val="8783D1"/>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Pivot!$C$111:$C$113</c:f>
              <c:numCache>
                <c:formatCode>0%</c:formatCode>
                <c:ptCount val="2"/>
                <c:pt idx="0">
                  <c:v>0.49480968858131485</c:v>
                </c:pt>
                <c:pt idx="1">
                  <c:v>0.50519031141868509</c:v>
                </c:pt>
              </c:numCache>
            </c:numRef>
          </c:val>
          <c:extLst>
            <c:ext xmlns:c16="http://schemas.microsoft.com/office/drawing/2014/chart" uri="{C3380CC4-5D6E-409C-BE32-E72D297353CC}">
              <c16:uniqueId val="{00000005-84BD-4768-BAD3-20B2E24C10C5}"/>
            </c:ext>
          </c:extLst>
        </c:ser>
        <c:dLbls>
          <c:dLblPos val="ctr"/>
          <c:showLegendKey val="0"/>
          <c:showVal val="1"/>
          <c:showCatName val="0"/>
          <c:showSerName val="0"/>
          <c:showPercent val="0"/>
          <c:showBubbleSize val="0"/>
        </c:dLbls>
        <c:gapWidth val="150"/>
        <c:overlap val="100"/>
        <c:axId val="861593727"/>
        <c:axId val="861594687"/>
      </c:barChart>
      <c:catAx>
        <c:axId val="86159372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Bike</a:t>
                </a:r>
                <a:r>
                  <a:rPr lang="en-US" baseline="0"/>
                  <a:t> Purchased</a:t>
                </a:r>
                <a:endParaRPr lang="en-US"/>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4687"/>
        <c:crosses val="autoZero"/>
        <c:auto val="1"/>
        <c:lblAlgn val="ctr"/>
        <c:lblOffset val="100"/>
        <c:noMultiLvlLbl val="0"/>
      </c:catAx>
      <c:valAx>
        <c:axId val="861594687"/>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37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[Bike_Sale_Worksheet_dashboard.xlsm]Pivot!PivotTable14</c:name>
    <c:fmtId val="1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Most Common Commute Distances Among Bike 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a:solidFill>
              <a:schemeClr val="bg1"/>
            </a:solidFill>
          </a:ln>
          <a:effectLst/>
        </c:spPr>
      </c:pivotFmt>
      <c:pivotFmt>
        <c:idx val="6"/>
        <c:spPr>
          <a:solidFill>
            <a:schemeClr val="accent5">
              <a:lumMod val="60000"/>
              <a:lumOff val="40000"/>
            </a:schemeClr>
          </a:solidFill>
          <a:ln>
            <a:solidFill>
              <a:schemeClr val="bg1"/>
            </a:solidFill>
          </a:ln>
          <a:effectLst/>
        </c:spPr>
      </c:pivotFmt>
      <c:pivotFmt>
        <c:idx val="7"/>
        <c:spPr>
          <a:solidFill>
            <a:schemeClr val="accent5">
              <a:lumMod val="75000"/>
            </a:schemeClr>
          </a:solidFill>
          <a:ln>
            <a:solidFill>
              <a:schemeClr val="bg1"/>
            </a:solidFill>
          </a:ln>
          <a:effectLst/>
        </c:spPr>
      </c:pivotFmt>
      <c:pivotFmt>
        <c:idx val="8"/>
        <c:spPr>
          <a:solidFill>
            <a:schemeClr val="accent5">
              <a:lumMod val="40000"/>
              <a:lumOff val="60000"/>
            </a:schemeClr>
          </a:solidFill>
          <a:ln>
            <a:solidFill>
              <a:schemeClr val="bg1"/>
            </a:solidFill>
          </a:ln>
          <a:effectLst/>
        </c:spPr>
      </c:pivotFmt>
      <c:pivotFmt>
        <c:idx val="9"/>
        <c:spPr>
          <a:solidFill>
            <a:schemeClr val="accent5">
              <a:lumMod val="50000"/>
            </a:schemeClr>
          </a:solidFill>
          <a:ln>
            <a:solidFill>
              <a:schemeClr val="bg1"/>
            </a:solidFill>
          </a:ln>
          <a:effectLst/>
        </c:spPr>
      </c:pivotFmt>
      <c:pivotFmt>
        <c:idx val="10"/>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50000"/>
            </a:schemeClr>
          </a:solidFill>
          <a:ln>
            <a:solidFill>
              <a:schemeClr val="bg1"/>
            </a:solidFill>
          </a:ln>
          <a:effectLst/>
        </c:spPr>
      </c:pivotFmt>
      <c:pivotFmt>
        <c:idx val="12"/>
        <c:spPr>
          <a:solidFill>
            <a:schemeClr val="accent5">
              <a:lumMod val="40000"/>
              <a:lumOff val="60000"/>
            </a:schemeClr>
          </a:solidFill>
          <a:ln>
            <a:solidFill>
              <a:schemeClr val="bg1"/>
            </a:solidFill>
          </a:ln>
          <a:effectLst/>
        </c:spPr>
      </c:pivotFmt>
      <c:pivotFmt>
        <c:idx val="13"/>
        <c:spPr>
          <a:solidFill>
            <a:schemeClr val="accent5">
              <a:lumMod val="75000"/>
            </a:schemeClr>
          </a:solidFill>
          <a:ln>
            <a:solidFill>
              <a:schemeClr val="bg1"/>
            </a:solidFill>
          </a:ln>
          <a:effectLst/>
        </c:spPr>
      </c:pivotFmt>
      <c:pivotFmt>
        <c:idx val="14"/>
        <c:spPr>
          <a:solidFill>
            <a:schemeClr val="accent5">
              <a:lumMod val="60000"/>
              <a:lumOff val="40000"/>
            </a:schemeClr>
          </a:solidFill>
          <a:ln>
            <a:solidFill>
              <a:schemeClr val="bg1"/>
            </a:solidFill>
          </a:ln>
          <a:effectLst/>
        </c:spPr>
      </c:pivotFmt>
      <c:pivotFmt>
        <c:idx val="15"/>
        <c:spPr>
          <a:solidFill>
            <a:schemeClr val="accent5">
              <a:lumMod val="20000"/>
              <a:lumOff val="80000"/>
            </a:schemeClr>
          </a:solidFill>
          <a:ln>
            <a:solidFill>
              <a:schemeClr val="bg1"/>
            </a:solidFill>
          </a:ln>
          <a:effectLst/>
        </c:spPr>
      </c:pivotFmt>
      <c:pivotFmt>
        <c:idx val="16"/>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5">
              <a:lumMod val="50000"/>
            </a:schemeClr>
          </a:solidFill>
          <a:ln>
            <a:solidFill>
              <a:schemeClr val="bg1"/>
            </a:solidFill>
          </a:ln>
          <a:effectLst/>
        </c:spPr>
      </c:pivotFmt>
      <c:pivotFmt>
        <c:idx val="18"/>
        <c:spPr>
          <a:solidFill>
            <a:schemeClr val="accent5">
              <a:lumMod val="40000"/>
              <a:lumOff val="60000"/>
            </a:schemeClr>
          </a:solidFill>
          <a:ln>
            <a:solidFill>
              <a:schemeClr val="bg1"/>
            </a:solidFill>
          </a:ln>
          <a:effectLst/>
        </c:spPr>
      </c:pivotFmt>
      <c:pivotFmt>
        <c:idx val="19"/>
        <c:spPr>
          <a:solidFill>
            <a:schemeClr val="accent5">
              <a:lumMod val="75000"/>
            </a:schemeClr>
          </a:solidFill>
          <a:ln>
            <a:solidFill>
              <a:schemeClr val="bg1"/>
            </a:solidFill>
          </a:ln>
          <a:effectLst/>
        </c:spPr>
      </c:pivotFmt>
      <c:pivotFmt>
        <c:idx val="20"/>
        <c:spPr>
          <a:solidFill>
            <a:schemeClr val="accent5">
              <a:lumMod val="60000"/>
              <a:lumOff val="40000"/>
            </a:schemeClr>
          </a:solidFill>
          <a:ln>
            <a:solidFill>
              <a:schemeClr val="bg1"/>
            </a:solidFill>
          </a:ln>
          <a:effectLst/>
        </c:spPr>
      </c:pivotFmt>
      <c:pivotFmt>
        <c:idx val="21"/>
        <c:spPr>
          <a:solidFill>
            <a:schemeClr val="accent5">
              <a:lumMod val="20000"/>
              <a:lumOff val="80000"/>
            </a:schemeClr>
          </a:solidFill>
          <a:ln>
            <a:solidFill>
              <a:schemeClr val="bg1"/>
            </a:solidFill>
          </a:ln>
          <a:effectLst/>
        </c:spPr>
      </c:pivotFmt>
      <c:pivotFmt>
        <c:idx val="22"/>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5">
              <a:lumMod val="50000"/>
            </a:schemeClr>
          </a:solidFill>
          <a:ln>
            <a:solidFill>
              <a:schemeClr val="bg1"/>
            </a:solidFill>
          </a:ln>
          <a:effectLst/>
        </c:spPr>
      </c:pivotFmt>
      <c:pivotFmt>
        <c:idx val="24"/>
        <c:spPr>
          <a:solidFill>
            <a:schemeClr val="accent5">
              <a:lumMod val="40000"/>
              <a:lumOff val="60000"/>
            </a:schemeClr>
          </a:solidFill>
          <a:ln>
            <a:solidFill>
              <a:schemeClr val="bg1"/>
            </a:solidFill>
          </a:ln>
          <a:effectLst/>
        </c:spPr>
      </c:pivotFmt>
      <c:pivotFmt>
        <c:idx val="25"/>
        <c:spPr>
          <a:solidFill>
            <a:schemeClr val="accent5">
              <a:lumMod val="75000"/>
            </a:schemeClr>
          </a:solidFill>
          <a:ln>
            <a:solidFill>
              <a:schemeClr val="bg1"/>
            </a:solidFill>
          </a:ln>
          <a:effectLst/>
        </c:spPr>
      </c:pivotFmt>
      <c:pivotFmt>
        <c:idx val="26"/>
        <c:spPr>
          <a:solidFill>
            <a:schemeClr val="accent5">
              <a:lumMod val="60000"/>
              <a:lumOff val="40000"/>
            </a:schemeClr>
          </a:solidFill>
          <a:ln>
            <a:solidFill>
              <a:schemeClr val="bg1"/>
            </a:solidFill>
          </a:ln>
          <a:effectLst/>
        </c:spPr>
      </c:pivotFmt>
      <c:pivotFmt>
        <c:idx val="27"/>
        <c:spPr>
          <a:solidFill>
            <a:schemeClr val="accent5">
              <a:lumMod val="20000"/>
              <a:lumOff val="80000"/>
            </a:schemeClr>
          </a:solidFill>
          <a:ln>
            <a:solidFill>
              <a:schemeClr val="bg1"/>
            </a:solidFill>
          </a:ln>
          <a:effectLst/>
        </c:spPr>
      </c:pivotFmt>
      <c:pivotFmt>
        <c:idx val="28"/>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8783D1"/>
          </a:solidFill>
          <a:ln>
            <a:solidFill>
              <a:schemeClr val="bg1"/>
            </a:solidFill>
          </a:ln>
          <a:effectLst/>
        </c:spPr>
      </c:pivotFmt>
      <c:pivotFmt>
        <c:idx val="30"/>
        <c:spPr>
          <a:solidFill>
            <a:srgbClr val="8783D1"/>
          </a:solidFill>
          <a:ln>
            <a:solidFill>
              <a:schemeClr val="bg1"/>
            </a:solidFill>
          </a:ln>
          <a:effectLst/>
        </c:spPr>
      </c:pivotFmt>
      <c:pivotFmt>
        <c:idx val="31"/>
        <c:spPr>
          <a:solidFill>
            <a:srgbClr val="8783D1"/>
          </a:solidFill>
          <a:ln>
            <a:solidFill>
              <a:schemeClr val="bg1"/>
            </a:solidFill>
          </a:ln>
          <a:effectLst/>
        </c:spPr>
      </c:pivotFmt>
      <c:pivotFmt>
        <c:idx val="32"/>
        <c:spPr>
          <a:solidFill>
            <a:srgbClr val="8783D1"/>
          </a:solidFill>
          <a:ln>
            <a:solidFill>
              <a:schemeClr val="bg1"/>
            </a:solidFill>
          </a:ln>
          <a:effectLst/>
        </c:spPr>
      </c:pivotFmt>
      <c:pivotFmt>
        <c:idx val="33"/>
        <c:spPr>
          <a:solidFill>
            <a:srgbClr val="8783D1"/>
          </a:solidFill>
          <a:ln>
            <a:solidFill>
              <a:schemeClr val="bg1"/>
            </a:solidFill>
          </a:ln>
          <a:effectLst/>
        </c:spPr>
      </c:pivotFmt>
      <c:pivotFmt>
        <c:idx val="3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1"/>
        <c:ser>
          <c:idx val="0"/>
          <c:order val="0"/>
          <c:tx>
            <c:strRef>
              <c:f>Pivot!$B$125</c:f>
              <c:strCache>
                <c:ptCount val="1"/>
                <c:pt idx="0">
                  <c:v>Total</c:v>
                </c:pt>
              </c:strCache>
            </c:strRef>
          </c:tx>
          <c:spPr>
            <a:solidFill>
              <a:srgbClr val="8783D1"/>
            </a:solidFill>
            <a:ln>
              <a:solidFill>
                <a:schemeClr val="bg1"/>
              </a:solidFill>
            </a:ln>
          </c:spPr>
          <c:invertIfNegative val="0"/>
          <c:dPt>
            <c:idx val="0"/>
            <c:invertIfNegative val="0"/>
            <c:bubble3D val="0"/>
            <c:spPr>
              <a:solidFill>
                <a:srgbClr val="8783D1"/>
              </a:solidFill>
              <a:ln>
                <a:solidFill>
                  <a:schemeClr val="bg1"/>
                </a:solidFill>
              </a:ln>
              <a:effectLst/>
            </c:spPr>
            <c:extLst>
              <c:ext xmlns:c16="http://schemas.microsoft.com/office/drawing/2014/chart" uri="{C3380CC4-5D6E-409C-BE32-E72D297353CC}">
                <c16:uniqueId val="{00000001-E682-4095-8F6A-C3636AB0A388}"/>
              </c:ext>
            </c:extLst>
          </c:dPt>
          <c:dPt>
            <c:idx val="1"/>
            <c:invertIfNegative val="0"/>
            <c:bubble3D val="0"/>
            <c:spPr>
              <a:solidFill>
                <a:srgbClr val="8783D1"/>
              </a:solidFill>
              <a:ln>
                <a:solidFill>
                  <a:schemeClr val="bg1"/>
                </a:solidFill>
              </a:ln>
              <a:effectLst/>
            </c:spPr>
            <c:extLst>
              <c:ext xmlns:c16="http://schemas.microsoft.com/office/drawing/2014/chart" uri="{C3380CC4-5D6E-409C-BE32-E72D297353CC}">
                <c16:uniqueId val="{00000003-E682-4095-8F6A-C3636AB0A388}"/>
              </c:ext>
            </c:extLst>
          </c:dPt>
          <c:dPt>
            <c:idx val="2"/>
            <c:invertIfNegative val="0"/>
            <c:bubble3D val="0"/>
            <c:spPr>
              <a:solidFill>
                <a:srgbClr val="8783D1"/>
              </a:solidFill>
              <a:ln>
                <a:solidFill>
                  <a:schemeClr val="bg1"/>
                </a:solidFill>
              </a:ln>
              <a:effectLst/>
            </c:spPr>
            <c:extLst>
              <c:ext xmlns:c16="http://schemas.microsoft.com/office/drawing/2014/chart" uri="{C3380CC4-5D6E-409C-BE32-E72D297353CC}">
                <c16:uniqueId val="{00000005-E682-4095-8F6A-C3636AB0A388}"/>
              </c:ext>
            </c:extLst>
          </c:dPt>
          <c:dPt>
            <c:idx val="3"/>
            <c:invertIfNegative val="0"/>
            <c:bubble3D val="0"/>
            <c:spPr>
              <a:solidFill>
                <a:srgbClr val="8783D1"/>
              </a:solidFill>
              <a:ln>
                <a:solidFill>
                  <a:schemeClr val="bg1"/>
                </a:solidFill>
              </a:ln>
              <a:effectLst/>
            </c:spPr>
            <c:extLst>
              <c:ext xmlns:c16="http://schemas.microsoft.com/office/drawing/2014/chart" uri="{C3380CC4-5D6E-409C-BE32-E72D297353CC}">
                <c16:uniqueId val="{00000007-E682-4095-8F6A-C3636AB0A388}"/>
              </c:ext>
            </c:extLst>
          </c:dPt>
          <c:dPt>
            <c:idx val="4"/>
            <c:invertIfNegative val="0"/>
            <c:bubble3D val="0"/>
            <c:spPr>
              <a:solidFill>
                <a:srgbClr val="8783D1"/>
              </a:solidFill>
              <a:ln>
                <a:solidFill>
                  <a:schemeClr val="bg1"/>
                </a:solidFill>
              </a:ln>
              <a:effectLst/>
            </c:spPr>
            <c:extLst>
              <c:ext xmlns:c16="http://schemas.microsoft.com/office/drawing/2014/chart" uri="{C3380CC4-5D6E-409C-BE32-E72D297353CC}">
                <c16:uniqueId val="{00000009-E682-4095-8F6A-C3636AB0A388}"/>
              </c:ext>
            </c:extLst>
          </c:dPt>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Pivot!$A$126:$A$131</c:f>
              <c:strCache>
                <c:ptCount val="5"/>
                <c:pt idx="0">
                  <c:v>0-1 Miles</c:v>
                </c:pt>
                <c:pt idx="1">
                  <c:v>1-2 Miles</c:v>
                </c:pt>
                <c:pt idx="2">
                  <c:v>2-5 Miles</c:v>
                </c:pt>
                <c:pt idx="3">
                  <c:v>5-10 Miles</c:v>
                </c:pt>
                <c:pt idx="4">
                  <c:v>More Than 10 Miles</c:v>
                </c:pt>
              </c:strCache>
            </c:strRef>
          </c:cat>
          <c:val>
            <c:numRef>
              <c:f>Pivot!$B$126:$B$131</c:f>
              <c:numCache>
                <c:formatCode>0%</c:formatCode>
                <c:ptCount val="5"/>
                <c:pt idx="0">
                  <c:v>0.41818181818181815</c:v>
                </c:pt>
                <c:pt idx="1">
                  <c:v>0.16767676767676767</c:v>
                </c:pt>
                <c:pt idx="2">
                  <c:v>0.19191919191919191</c:v>
                </c:pt>
                <c:pt idx="3">
                  <c:v>0.15555555555555556</c:v>
                </c:pt>
                <c:pt idx="4">
                  <c:v>6.6666666666666666E-2</c:v>
                </c:pt>
              </c:numCache>
            </c:numRef>
          </c:val>
          <c:extLst>
            <c:ext xmlns:c16="http://schemas.microsoft.com/office/drawing/2014/chart" uri="{C3380CC4-5D6E-409C-BE32-E72D297353CC}">
              <c16:uniqueId val="{0000000A-E682-4095-8F6A-C3636AB0A388}"/>
            </c:ext>
          </c:extLst>
        </c:ser>
        <c:dLbls>
          <c:dLblPos val="inEnd"/>
          <c:showLegendKey val="0"/>
          <c:showVal val="1"/>
          <c:showCatName val="0"/>
          <c:showSerName val="0"/>
          <c:showPercent val="0"/>
          <c:showBubbleSize val="0"/>
        </c:dLbls>
        <c:gapWidth val="182"/>
        <c:axId val="817746703"/>
        <c:axId val="817747663"/>
      </c:barChart>
      <c:catAx>
        <c:axId val="81774670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7663"/>
        <c:crosses val="autoZero"/>
        <c:auto val="1"/>
        <c:lblAlgn val="ctr"/>
        <c:lblOffset val="100"/>
        <c:noMultiLvlLbl val="0"/>
      </c:catAx>
      <c:valAx>
        <c:axId val="817747663"/>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[Bike_Sale_Worksheet_dashboard.xlsm]Pivot!PivotTable15</c:name>
    <c:fmtId val="1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Education Level</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AA9ABA"/>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Pivot!$B$148:$B$149</c:f>
              <c:strCache>
                <c:ptCount val="1"/>
                <c:pt idx="0">
                  <c:v>No</c:v>
                </c:pt>
              </c:strCache>
            </c:strRef>
          </c:tx>
          <c:spPr>
            <a:solidFill>
              <a:srgbClr val="AA9ABA"/>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Pivot!$B$150:$B$155</c:f>
              <c:numCache>
                <c:formatCode>0%</c:formatCode>
                <c:ptCount val="5"/>
                <c:pt idx="0">
                  <c:v>0.45659163987138263</c:v>
                </c:pt>
                <c:pt idx="1">
                  <c:v>0.45714285714285713</c:v>
                </c:pt>
                <c:pt idx="2">
                  <c:v>0.55434782608695654</c:v>
                </c:pt>
                <c:pt idx="3">
                  <c:v>0.54316546762589923</c:v>
                </c:pt>
                <c:pt idx="4">
                  <c:v>0.71794871794871795</c:v>
                </c:pt>
              </c:numCache>
            </c:numRef>
          </c:val>
          <c:extLst>
            <c:ext xmlns:c16="http://schemas.microsoft.com/office/drawing/2014/chart" uri="{C3380CC4-5D6E-409C-BE32-E72D297353CC}">
              <c16:uniqueId val="{00000000-FE35-4D31-ADE8-EAA748762E74}"/>
            </c:ext>
          </c:extLst>
        </c:ser>
        <c:ser>
          <c:idx val="1"/>
          <c:order val="1"/>
          <c:tx>
            <c:strRef>
              <c:f>Pivot!$C$148:$C$149</c:f>
              <c:strCache>
                <c:ptCount val="1"/>
                <c:pt idx="0">
                  <c:v>Yes</c:v>
                </c:pt>
              </c:strCache>
            </c:strRef>
          </c:tx>
          <c:spPr>
            <a:solidFill>
              <a:srgbClr val="8783D1"/>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Pivot!$C$150:$C$155</c:f>
              <c:numCache>
                <c:formatCode>0%</c:formatCode>
                <c:ptCount val="5"/>
                <c:pt idx="0">
                  <c:v>0.54340836012861737</c:v>
                </c:pt>
                <c:pt idx="1">
                  <c:v>0.54285714285714282</c:v>
                </c:pt>
                <c:pt idx="2">
                  <c:v>0.44565217391304346</c:v>
                </c:pt>
                <c:pt idx="3">
                  <c:v>0.45683453237410071</c:v>
                </c:pt>
                <c:pt idx="4">
                  <c:v>0.28205128205128205</c:v>
                </c:pt>
              </c:numCache>
            </c:numRef>
          </c:val>
          <c:extLst>
            <c:ext xmlns:c16="http://schemas.microsoft.com/office/drawing/2014/chart" uri="{C3380CC4-5D6E-409C-BE32-E72D297353CC}">
              <c16:uniqueId val="{00000001-FE35-4D31-ADE8-EAA748762E74}"/>
            </c:ext>
          </c:extLst>
        </c:ser>
        <c:dLbls>
          <c:showLegendKey val="0"/>
          <c:showVal val="0"/>
          <c:showCatName val="0"/>
          <c:showSerName val="0"/>
          <c:showPercent val="0"/>
          <c:showBubbleSize val="0"/>
        </c:dLbls>
        <c:gapWidth val="150"/>
        <c:overlap val="100"/>
        <c:axId val="832089519"/>
        <c:axId val="832091439"/>
      </c:barChart>
      <c:catAx>
        <c:axId val="83208951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91439"/>
        <c:crosses val="autoZero"/>
        <c:auto val="1"/>
        <c:lblAlgn val="ctr"/>
        <c:lblOffset val="100"/>
        <c:noMultiLvlLbl val="0"/>
      </c:catAx>
      <c:valAx>
        <c:axId val="832091439"/>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89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[Bike_Sale_Worksheet_dashboard.xlsm]Pivot!PivotTable16</c:name>
    <c:fmtId val="18"/>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Occupation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E3B9BC"/>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Pivot!$B$165:$B$166</c:f>
              <c:strCache>
                <c:ptCount val="1"/>
                <c:pt idx="0">
                  <c:v>No</c:v>
                </c:pt>
              </c:strCache>
            </c:strRef>
          </c:tx>
          <c:spPr>
            <a:solidFill>
              <a:srgbClr val="8783D1"/>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Pivot!$B$167:$B$172</c:f>
              <c:numCache>
                <c:formatCode>0%</c:formatCode>
                <c:ptCount val="5"/>
                <c:pt idx="0">
                  <c:v>0.49197860962566847</c:v>
                </c:pt>
                <c:pt idx="1">
                  <c:v>0.58045977011494254</c:v>
                </c:pt>
                <c:pt idx="2">
                  <c:v>0.53174603174603174</c:v>
                </c:pt>
                <c:pt idx="3">
                  <c:v>0.4642857142857143</c:v>
                </c:pt>
                <c:pt idx="4">
                  <c:v>0.54440154440154442</c:v>
                </c:pt>
              </c:numCache>
            </c:numRef>
          </c:val>
          <c:extLst>
            <c:ext xmlns:c16="http://schemas.microsoft.com/office/drawing/2014/chart" uri="{C3380CC4-5D6E-409C-BE32-E72D297353CC}">
              <c16:uniqueId val="{00000000-26FF-4190-89BD-6578334FF9FD}"/>
            </c:ext>
          </c:extLst>
        </c:ser>
        <c:ser>
          <c:idx val="1"/>
          <c:order val="1"/>
          <c:tx>
            <c:strRef>
              <c:f>Pivot!$C$165:$C$166</c:f>
              <c:strCache>
                <c:ptCount val="1"/>
                <c:pt idx="0">
                  <c:v>Yes</c:v>
                </c:pt>
              </c:strCache>
            </c:strRef>
          </c:tx>
          <c:spPr>
            <a:solidFill>
              <a:srgbClr val="E3B9BC"/>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Pivot!$C$167:$C$172</c:f>
              <c:numCache>
                <c:formatCode>0%</c:formatCode>
                <c:ptCount val="5"/>
                <c:pt idx="0">
                  <c:v>0.50802139037433158</c:v>
                </c:pt>
                <c:pt idx="1">
                  <c:v>0.41954022988505746</c:v>
                </c:pt>
                <c:pt idx="2">
                  <c:v>0.46825396825396826</c:v>
                </c:pt>
                <c:pt idx="3">
                  <c:v>0.5357142857142857</c:v>
                </c:pt>
                <c:pt idx="4">
                  <c:v>0.45559845559845558</c:v>
                </c:pt>
              </c:numCache>
            </c:numRef>
          </c:val>
          <c:extLst>
            <c:ext xmlns:c16="http://schemas.microsoft.com/office/drawing/2014/chart" uri="{C3380CC4-5D6E-409C-BE32-E72D297353CC}">
              <c16:uniqueId val="{00000001-26FF-4190-89BD-6578334FF9FD}"/>
            </c:ext>
          </c:extLst>
        </c:ser>
        <c:dLbls>
          <c:dLblPos val="ctr"/>
          <c:showLegendKey val="0"/>
          <c:showVal val="1"/>
          <c:showCatName val="0"/>
          <c:showSerName val="0"/>
          <c:showPercent val="0"/>
          <c:showBubbleSize val="0"/>
        </c:dLbls>
        <c:gapWidth val="150"/>
        <c:overlap val="100"/>
        <c:axId val="937398447"/>
        <c:axId val="937404207"/>
      </c:barChart>
      <c:catAx>
        <c:axId val="93739844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404207"/>
        <c:crosses val="autoZero"/>
        <c:auto val="1"/>
        <c:lblAlgn val="ctr"/>
        <c:lblOffset val="100"/>
        <c:noMultiLvlLbl val="0"/>
      </c:catAx>
      <c:valAx>
        <c:axId val="937404207"/>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39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image" Target="../media/image2.svg"/><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image" Target="../media/image1.png"/><Relationship Id="rId1" Type="http://schemas.openxmlformats.org/officeDocument/2006/relationships/chart" Target="../charts/chart15.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18</xdr:col>
      <xdr:colOff>9499</xdr:colOff>
      <xdr:row>3</xdr:row>
      <xdr:rowOff>71522</xdr:rowOff>
    </xdr:from>
    <xdr:to>
      <xdr:col>23</xdr:col>
      <xdr:colOff>180755</xdr:colOff>
      <xdr:row>17</xdr:row>
      <xdr:rowOff>147722</xdr:rowOff>
    </xdr:to>
    <xdr:graphicFrame macro="">
      <xdr:nvGraphicFramePr>
        <xdr:cNvPr id="9" name="Chart 8">
          <a:extLst>
            <a:ext uri="{FF2B5EF4-FFF2-40B4-BE49-F238E27FC236}">
              <a16:creationId xmlns:a16="http://schemas.microsoft.com/office/drawing/2014/main" id="{68BBBD35-3F28-8B28-BA2E-1DAA3376AF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4141</xdr:colOff>
      <xdr:row>24</xdr:row>
      <xdr:rowOff>102704</xdr:rowOff>
    </xdr:from>
    <xdr:to>
      <xdr:col>22</xdr:col>
      <xdr:colOff>964923</xdr:colOff>
      <xdr:row>38</xdr:row>
      <xdr:rowOff>178904</xdr:rowOff>
    </xdr:to>
    <xdr:graphicFrame macro="">
      <xdr:nvGraphicFramePr>
        <xdr:cNvPr id="3" name="Chart 2">
          <a:extLst>
            <a:ext uri="{FF2B5EF4-FFF2-40B4-BE49-F238E27FC236}">
              <a16:creationId xmlns:a16="http://schemas.microsoft.com/office/drawing/2014/main" id="{6524C57B-F966-2502-5F5A-368D435D6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4141</xdr:colOff>
      <xdr:row>44</xdr:row>
      <xdr:rowOff>160682</xdr:rowOff>
    </xdr:from>
    <xdr:to>
      <xdr:col>22</xdr:col>
      <xdr:colOff>443119</xdr:colOff>
      <xdr:row>59</xdr:row>
      <xdr:rowOff>46382</xdr:rowOff>
    </xdr:to>
    <xdr:graphicFrame macro="">
      <xdr:nvGraphicFramePr>
        <xdr:cNvPr id="4" name="Chart 3">
          <a:extLst>
            <a:ext uri="{FF2B5EF4-FFF2-40B4-BE49-F238E27FC236}">
              <a16:creationId xmlns:a16="http://schemas.microsoft.com/office/drawing/2014/main" id="{D97FFD8C-DF4F-4F67-1005-AE6E4B11D9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16565</xdr:colOff>
      <xdr:row>65</xdr:row>
      <xdr:rowOff>36443</xdr:rowOff>
    </xdr:from>
    <xdr:to>
      <xdr:col>22</xdr:col>
      <xdr:colOff>455543</xdr:colOff>
      <xdr:row>79</xdr:row>
      <xdr:rowOff>112643</xdr:rowOff>
    </xdr:to>
    <xdr:graphicFrame macro="">
      <xdr:nvGraphicFramePr>
        <xdr:cNvPr id="5" name="Chart 4">
          <a:extLst>
            <a:ext uri="{FF2B5EF4-FFF2-40B4-BE49-F238E27FC236}">
              <a16:creationId xmlns:a16="http://schemas.microsoft.com/office/drawing/2014/main" id="{57A1B51E-5A56-0673-0281-F139522204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12</xdr:col>
      <xdr:colOff>142875</xdr:colOff>
      <xdr:row>16</xdr:row>
      <xdr:rowOff>76200</xdr:rowOff>
    </xdr:from>
    <xdr:ext cx="4062651" cy="781240"/>
    <xdr:sp macro="" textlink="">
      <xdr:nvSpPr>
        <xdr:cNvPr id="2" name="TextBox 1">
          <a:extLst>
            <a:ext uri="{FF2B5EF4-FFF2-40B4-BE49-F238E27FC236}">
              <a16:creationId xmlns:a16="http://schemas.microsoft.com/office/drawing/2014/main" id="{354D4E48-1721-AA88-99B5-4B666AD1CD00}"/>
            </a:ext>
          </a:extLst>
        </xdr:cNvPr>
        <xdr:cNvSpPr txBox="1"/>
      </xdr:nvSpPr>
      <xdr:spPr>
        <a:xfrm>
          <a:off x="8791575" y="3124200"/>
          <a:ext cx="4062651"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Table Analysis</a:t>
          </a:r>
        </a:p>
        <a:p>
          <a:r>
            <a:rPr lang="en-US" sz="1100"/>
            <a:t>-- Demographics</a:t>
          </a:r>
        </a:p>
        <a:p>
          <a:r>
            <a:rPr lang="en-US" sz="1100"/>
            <a:t>-- What is the gender distribution across the dataset?</a:t>
          </a:r>
        </a:p>
        <a:p>
          <a:r>
            <a:rPr lang="en-US" sz="1100"/>
            <a:t>-- What is the age range of customers in each marital status category?</a:t>
          </a:r>
        </a:p>
      </xdr:txBody>
    </xdr:sp>
    <xdr:clientData/>
  </xdr:oneCellAnchor>
  <xdr:twoCellAnchor>
    <xdr:from>
      <xdr:col>5</xdr:col>
      <xdr:colOff>9525</xdr:colOff>
      <xdr:row>0</xdr:row>
      <xdr:rowOff>4762</xdr:rowOff>
    </xdr:from>
    <xdr:to>
      <xdr:col>12</xdr:col>
      <xdr:colOff>314325</xdr:colOff>
      <xdr:row>14</xdr:row>
      <xdr:rowOff>80962</xdr:rowOff>
    </xdr:to>
    <xdr:graphicFrame macro="">
      <xdr:nvGraphicFramePr>
        <xdr:cNvPr id="3" name="Chart 2">
          <a:extLst>
            <a:ext uri="{FF2B5EF4-FFF2-40B4-BE49-F238E27FC236}">
              <a16:creationId xmlns:a16="http://schemas.microsoft.com/office/drawing/2014/main" id="{FFF6AB5F-3BC9-C19E-1571-FC0FE7A974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352425</xdr:colOff>
      <xdr:row>19</xdr:row>
      <xdr:rowOff>0</xdr:rowOff>
    </xdr:from>
    <xdr:to>
      <xdr:col>12</xdr:col>
      <xdr:colOff>47625</xdr:colOff>
      <xdr:row>33</xdr:row>
      <xdr:rowOff>76200</xdr:rowOff>
    </xdr:to>
    <xdr:graphicFrame macro="">
      <xdr:nvGraphicFramePr>
        <xdr:cNvPr id="4" name="Chart 3">
          <a:extLst>
            <a:ext uri="{FF2B5EF4-FFF2-40B4-BE49-F238E27FC236}">
              <a16:creationId xmlns:a16="http://schemas.microsoft.com/office/drawing/2014/main" id="{8CDDFDE7-9BE2-43AB-A21B-598533F48D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12</xdr:col>
      <xdr:colOff>38100</xdr:colOff>
      <xdr:row>51</xdr:row>
      <xdr:rowOff>95250</xdr:rowOff>
    </xdr:from>
    <xdr:ext cx="5495735" cy="436786"/>
    <xdr:sp macro="" textlink="">
      <xdr:nvSpPr>
        <xdr:cNvPr id="5" name="TextBox 4">
          <a:extLst>
            <a:ext uri="{FF2B5EF4-FFF2-40B4-BE49-F238E27FC236}">
              <a16:creationId xmlns:a16="http://schemas.microsoft.com/office/drawing/2014/main" id="{2C07EEE0-934C-4F62-90E8-12C33CD8D03A}"/>
            </a:ext>
          </a:extLst>
        </xdr:cNvPr>
        <xdr:cNvSpPr txBox="1"/>
      </xdr:nvSpPr>
      <xdr:spPr>
        <a:xfrm>
          <a:off x="8686800" y="9810750"/>
          <a:ext cx="549573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Purchasing Trends</a:t>
          </a:r>
        </a:p>
        <a:p>
          <a:r>
            <a:rPr lang="en-US" sz="1100"/>
            <a:t>-- What percentage of each demographic group (e.g., Gender, Marital Status) purchased a bike?</a:t>
          </a:r>
        </a:p>
      </xdr:txBody>
    </xdr:sp>
    <xdr:clientData/>
  </xdr:oneCellAnchor>
  <xdr:twoCellAnchor>
    <xdr:from>
      <xdr:col>4</xdr:col>
      <xdr:colOff>304800</xdr:colOff>
      <xdr:row>37</xdr:row>
      <xdr:rowOff>152400</xdr:rowOff>
    </xdr:from>
    <xdr:to>
      <xdr:col>11</xdr:col>
      <xdr:colOff>601888</xdr:colOff>
      <xdr:row>52</xdr:row>
      <xdr:rowOff>38100</xdr:rowOff>
    </xdr:to>
    <xdr:graphicFrame macro="">
      <xdr:nvGraphicFramePr>
        <xdr:cNvPr id="6" name="Chart 5">
          <a:extLst>
            <a:ext uri="{FF2B5EF4-FFF2-40B4-BE49-F238E27FC236}">
              <a16:creationId xmlns:a16="http://schemas.microsoft.com/office/drawing/2014/main" id="{466433B2-C691-4092-ADC3-EAD01B0A43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390525</xdr:colOff>
      <xdr:row>54</xdr:row>
      <xdr:rowOff>9525</xdr:rowOff>
    </xdr:from>
    <xdr:to>
      <xdr:col>12</xdr:col>
      <xdr:colOff>85725</xdr:colOff>
      <xdr:row>68</xdr:row>
      <xdr:rowOff>85725</xdr:rowOff>
    </xdr:to>
    <xdr:graphicFrame macro="">
      <xdr:nvGraphicFramePr>
        <xdr:cNvPr id="7" name="Chart 6">
          <a:extLst>
            <a:ext uri="{FF2B5EF4-FFF2-40B4-BE49-F238E27FC236}">
              <a16:creationId xmlns:a16="http://schemas.microsoft.com/office/drawing/2014/main" id="{6FC257E2-CC30-45E5-BF29-694F51BC70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12</xdr:col>
      <xdr:colOff>0</xdr:colOff>
      <xdr:row>72</xdr:row>
      <xdr:rowOff>0</xdr:rowOff>
    </xdr:from>
    <xdr:ext cx="3389069" cy="436786"/>
    <xdr:sp macro="" textlink="">
      <xdr:nvSpPr>
        <xdr:cNvPr id="8" name="TextBox 7">
          <a:extLst>
            <a:ext uri="{FF2B5EF4-FFF2-40B4-BE49-F238E27FC236}">
              <a16:creationId xmlns:a16="http://schemas.microsoft.com/office/drawing/2014/main" id="{25EE48F2-E17A-4FE7-B167-2EEDDC2E7C65}"/>
            </a:ext>
          </a:extLst>
        </xdr:cNvPr>
        <xdr:cNvSpPr txBox="1"/>
      </xdr:nvSpPr>
      <xdr:spPr>
        <a:xfrm>
          <a:off x="7829550" y="13716000"/>
          <a:ext cx="338906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Regional Insights</a:t>
          </a:r>
        </a:p>
        <a:p>
          <a:r>
            <a:rPr lang="en-US" sz="1100"/>
            <a:t>-- Which region has the highest proportion of bike buyers?</a:t>
          </a:r>
        </a:p>
      </xdr:txBody>
    </xdr:sp>
    <xdr:clientData/>
  </xdr:oneCellAnchor>
  <xdr:twoCellAnchor>
    <xdr:from>
      <xdr:col>4</xdr:col>
      <xdr:colOff>352425</xdr:colOff>
      <xdr:row>70</xdr:row>
      <xdr:rowOff>52387</xdr:rowOff>
    </xdr:from>
    <xdr:to>
      <xdr:col>12</xdr:col>
      <xdr:colOff>47625</xdr:colOff>
      <xdr:row>84</xdr:row>
      <xdr:rowOff>128587</xdr:rowOff>
    </xdr:to>
    <xdr:graphicFrame macro="">
      <xdr:nvGraphicFramePr>
        <xdr:cNvPr id="9" name="Chart 8">
          <a:extLst>
            <a:ext uri="{FF2B5EF4-FFF2-40B4-BE49-F238E27FC236}">
              <a16:creationId xmlns:a16="http://schemas.microsoft.com/office/drawing/2014/main" id="{53839A95-8502-35D0-3BB9-A4CFF429E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13253</xdr:colOff>
      <xdr:row>87</xdr:row>
      <xdr:rowOff>27333</xdr:rowOff>
    </xdr:from>
    <xdr:to>
      <xdr:col>19</xdr:col>
      <xdr:colOff>89453</xdr:colOff>
      <xdr:row>104</xdr:row>
      <xdr:rowOff>122583</xdr:rowOff>
    </xdr:to>
    <xdr:graphicFrame macro="">
      <xdr:nvGraphicFramePr>
        <xdr:cNvPr id="11" name="Chart 10">
          <a:extLst>
            <a:ext uri="{FF2B5EF4-FFF2-40B4-BE49-F238E27FC236}">
              <a16:creationId xmlns:a16="http://schemas.microsoft.com/office/drawing/2014/main" id="{37809FF2-5D28-4F1C-976A-7476D8283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161925</xdr:colOff>
      <xdr:row>91</xdr:row>
      <xdr:rowOff>66675</xdr:rowOff>
    </xdr:from>
    <xdr:ext cx="5461623" cy="436786"/>
    <xdr:sp macro="" textlink="">
      <xdr:nvSpPr>
        <xdr:cNvPr id="10" name="TextBox 9">
          <a:extLst>
            <a:ext uri="{FF2B5EF4-FFF2-40B4-BE49-F238E27FC236}">
              <a16:creationId xmlns:a16="http://schemas.microsoft.com/office/drawing/2014/main" id="{E030213C-64EE-4D2A-907B-B946BC7B516E}"/>
            </a:ext>
          </a:extLst>
        </xdr:cNvPr>
        <xdr:cNvSpPr txBox="1"/>
      </xdr:nvSpPr>
      <xdr:spPr>
        <a:xfrm>
          <a:off x="161925" y="17402175"/>
          <a:ext cx="5461623"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Financial Analysis</a:t>
          </a:r>
        </a:p>
        <a:p>
          <a:r>
            <a:rPr lang="en-US" sz="1100"/>
            <a:t>-- What is the income distribution of customers who purchased a bike versus those who didn’t?</a:t>
          </a:r>
        </a:p>
      </xdr:txBody>
    </xdr:sp>
    <xdr:clientData/>
  </xdr:oneCellAnchor>
  <xdr:twoCellAnchor>
    <xdr:from>
      <xdr:col>4</xdr:col>
      <xdr:colOff>361950</xdr:colOff>
      <xdr:row>106</xdr:row>
      <xdr:rowOff>176212</xdr:rowOff>
    </xdr:from>
    <xdr:to>
      <xdr:col>11</xdr:col>
      <xdr:colOff>152400</xdr:colOff>
      <xdr:row>121</xdr:row>
      <xdr:rowOff>61912</xdr:rowOff>
    </xdr:to>
    <xdr:graphicFrame macro="">
      <xdr:nvGraphicFramePr>
        <xdr:cNvPr id="13" name="Chart 12">
          <a:extLst>
            <a:ext uri="{FF2B5EF4-FFF2-40B4-BE49-F238E27FC236}">
              <a16:creationId xmlns:a16="http://schemas.microsoft.com/office/drawing/2014/main" id="{7230EE45-81CB-5265-E0D5-ECA97201B7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209550</xdr:colOff>
      <xdr:row>123</xdr:row>
      <xdr:rowOff>109537</xdr:rowOff>
    </xdr:from>
    <xdr:to>
      <xdr:col>11</xdr:col>
      <xdr:colOff>0</xdr:colOff>
      <xdr:row>137</xdr:row>
      <xdr:rowOff>185737</xdr:rowOff>
    </xdr:to>
    <xdr:graphicFrame macro="">
      <xdr:nvGraphicFramePr>
        <xdr:cNvPr id="14" name="Chart 13">
          <a:extLst>
            <a:ext uri="{FF2B5EF4-FFF2-40B4-BE49-F238E27FC236}">
              <a16:creationId xmlns:a16="http://schemas.microsoft.com/office/drawing/2014/main" id="{49BDA16A-D04B-3221-10FF-1932778B4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190500</xdr:colOff>
      <xdr:row>146</xdr:row>
      <xdr:rowOff>36443</xdr:rowOff>
    </xdr:from>
    <xdr:to>
      <xdr:col>11</xdr:col>
      <xdr:colOff>546652</xdr:colOff>
      <xdr:row>160</xdr:row>
      <xdr:rowOff>112643</xdr:rowOff>
    </xdr:to>
    <xdr:graphicFrame macro="">
      <xdr:nvGraphicFramePr>
        <xdr:cNvPr id="16" name="Chart 15">
          <a:extLst>
            <a:ext uri="{FF2B5EF4-FFF2-40B4-BE49-F238E27FC236}">
              <a16:creationId xmlns:a16="http://schemas.microsoft.com/office/drawing/2014/main" id="{DB33F969-D403-5D38-30F4-CE45822F4C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389283</xdr:colOff>
      <xdr:row>163</xdr:row>
      <xdr:rowOff>177248</xdr:rowOff>
    </xdr:from>
    <xdr:to>
      <xdr:col>12</xdr:col>
      <xdr:colOff>132522</xdr:colOff>
      <xdr:row>178</xdr:row>
      <xdr:rowOff>62948</xdr:rowOff>
    </xdr:to>
    <xdr:graphicFrame macro="">
      <xdr:nvGraphicFramePr>
        <xdr:cNvPr id="17" name="Chart 16">
          <a:extLst>
            <a:ext uri="{FF2B5EF4-FFF2-40B4-BE49-F238E27FC236}">
              <a16:creationId xmlns:a16="http://schemas.microsoft.com/office/drawing/2014/main" id="{3A5AFBE9-6EC6-8A62-E92A-423FCE8DF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418686</xdr:colOff>
      <xdr:row>160</xdr:row>
      <xdr:rowOff>163997</xdr:rowOff>
    </xdr:from>
    <xdr:ext cx="4191853" cy="609013"/>
    <xdr:sp macro="" textlink="">
      <xdr:nvSpPr>
        <xdr:cNvPr id="15" name="TextBox 14">
          <a:extLst>
            <a:ext uri="{FF2B5EF4-FFF2-40B4-BE49-F238E27FC236}">
              <a16:creationId xmlns:a16="http://schemas.microsoft.com/office/drawing/2014/main" id="{5B004841-0EA8-4EA2-8172-5E77949BC2D8}"/>
            </a:ext>
          </a:extLst>
        </xdr:cNvPr>
        <xdr:cNvSpPr txBox="1"/>
      </xdr:nvSpPr>
      <xdr:spPr>
        <a:xfrm>
          <a:off x="6638925" y="30643997"/>
          <a:ext cx="419185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Education and Occupation</a:t>
          </a:r>
        </a:p>
        <a:p>
          <a:r>
            <a:rPr lang="en-US" sz="1100"/>
            <a:t>-- What is the relationship between education level and bike purchases?</a:t>
          </a:r>
        </a:p>
        <a:p>
          <a:r>
            <a:rPr lang="en-US" sz="1100"/>
            <a:t>-- Which occupation groups are most likely to purchase bikes?</a:t>
          </a:r>
        </a:p>
      </xdr:txBody>
    </xdr:sp>
    <xdr:clientData/>
  </xdr:oneCellAnchor>
  <xdr:oneCellAnchor>
    <xdr:from>
      <xdr:col>10</xdr:col>
      <xdr:colOff>181803</xdr:colOff>
      <xdr:row>121</xdr:row>
      <xdr:rowOff>97735</xdr:rowOff>
    </xdr:from>
    <xdr:ext cx="4182812" cy="609013"/>
    <xdr:sp macro="" textlink="">
      <xdr:nvSpPr>
        <xdr:cNvPr id="12" name="TextBox 11">
          <a:extLst>
            <a:ext uri="{FF2B5EF4-FFF2-40B4-BE49-F238E27FC236}">
              <a16:creationId xmlns:a16="http://schemas.microsoft.com/office/drawing/2014/main" id="{44EDA676-C050-48FD-9855-E987742706CA}"/>
            </a:ext>
          </a:extLst>
        </xdr:cNvPr>
        <xdr:cNvSpPr txBox="1"/>
      </xdr:nvSpPr>
      <xdr:spPr>
        <a:xfrm>
          <a:off x="7627868" y="23148235"/>
          <a:ext cx="4182812"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Lifestyle Factors</a:t>
          </a:r>
        </a:p>
        <a:p>
          <a:r>
            <a:rPr lang="en-US" sz="1100"/>
            <a:t>-- How does the number of children influence bike purchases?</a:t>
          </a:r>
        </a:p>
        <a:p>
          <a:r>
            <a:rPr lang="en-US" sz="1100"/>
            <a:t>-- What commute distances are most common among bike purchasers?</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114300</xdr:rowOff>
    </xdr:from>
    <xdr:to>
      <xdr:col>6</xdr:col>
      <xdr:colOff>0</xdr:colOff>
      <xdr:row>22</xdr:row>
      <xdr:rowOff>0</xdr:rowOff>
    </xdr:to>
    <xdr:graphicFrame macro="">
      <xdr:nvGraphicFramePr>
        <xdr:cNvPr id="16" name="Chart 15">
          <a:extLst>
            <a:ext uri="{FF2B5EF4-FFF2-40B4-BE49-F238E27FC236}">
              <a16:creationId xmlns:a16="http://schemas.microsoft.com/office/drawing/2014/main" id="{DB201E27-987A-44CC-82DB-5AEFBD07E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142876</xdr:rowOff>
    </xdr:from>
    <xdr:to>
      <xdr:col>14</xdr:col>
      <xdr:colOff>297656</xdr:colOff>
      <xdr:row>7</xdr:row>
      <xdr:rowOff>6726</xdr:rowOff>
    </xdr:to>
    <xdr:sp macro="" textlink="">
      <xdr:nvSpPr>
        <xdr:cNvPr id="17" name="Rectangle 16">
          <a:extLst>
            <a:ext uri="{FF2B5EF4-FFF2-40B4-BE49-F238E27FC236}">
              <a16:creationId xmlns:a16="http://schemas.microsoft.com/office/drawing/2014/main" id="{18894F09-0498-4C15-9EAE-B800F604AF28}"/>
            </a:ext>
          </a:extLst>
        </xdr:cNvPr>
        <xdr:cNvSpPr/>
      </xdr:nvSpPr>
      <xdr:spPr>
        <a:xfrm>
          <a:off x="607219" y="523876"/>
          <a:ext cx="8191500" cy="816350"/>
        </a:xfrm>
        <a:prstGeom prst="rect">
          <a:avLst/>
        </a:prstGeom>
        <a:solidFill>
          <a:srgbClr val="E3B9BC"/>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rPr>
            <a:t>BIKE SALE ANALYSIS</a:t>
          </a:r>
        </a:p>
      </xdr:txBody>
    </xdr:sp>
    <xdr:clientData/>
  </xdr:twoCellAnchor>
  <xdr:twoCellAnchor editAs="oneCell">
    <xdr:from>
      <xdr:col>11</xdr:col>
      <xdr:colOff>492304</xdr:colOff>
      <xdr:row>0</xdr:row>
      <xdr:rowOff>57631</xdr:rowOff>
    </xdr:from>
    <xdr:to>
      <xdr:col>14</xdr:col>
      <xdr:colOff>40822</xdr:colOff>
      <xdr:row>6</xdr:row>
      <xdr:rowOff>57631</xdr:rowOff>
    </xdr:to>
    <xdr:pic>
      <xdr:nvPicPr>
        <xdr:cNvPr id="19" name="Graphic 18" descr="Woman riding bicycle with basket">
          <a:extLst>
            <a:ext uri="{FF2B5EF4-FFF2-40B4-BE49-F238E27FC236}">
              <a16:creationId xmlns:a16="http://schemas.microsoft.com/office/drawing/2014/main" id="{EBBC466D-5D35-884D-7CEB-58BD3AE509F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7227840" y="57631"/>
          <a:ext cx="1385482" cy="1143000"/>
        </a:xfrm>
        <a:prstGeom prst="rect">
          <a:avLst/>
        </a:prstGeom>
        <a:effectLst>
          <a:outerShdw blurRad="50800" dist="38100" dir="5400000" algn="t" rotWithShape="0">
            <a:prstClr val="black">
              <a:alpha val="40000"/>
            </a:prstClr>
          </a:outerShdw>
        </a:effectLst>
      </xdr:spPr>
    </xdr:pic>
    <xdr:clientData/>
  </xdr:twoCellAnchor>
  <xdr:twoCellAnchor>
    <xdr:from>
      <xdr:col>0</xdr:col>
      <xdr:colOff>605117</xdr:colOff>
      <xdr:row>23</xdr:row>
      <xdr:rowOff>0</xdr:rowOff>
    </xdr:from>
    <xdr:to>
      <xdr:col>10</xdr:col>
      <xdr:colOff>0</xdr:colOff>
      <xdr:row>37</xdr:row>
      <xdr:rowOff>76200</xdr:rowOff>
    </xdr:to>
    <xdr:graphicFrame macro="">
      <xdr:nvGraphicFramePr>
        <xdr:cNvPr id="20" name="Chart 19">
          <a:extLst>
            <a:ext uri="{FF2B5EF4-FFF2-40B4-BE49-F238E27FC236}">
              <a16:creationId xmlns:a16="http://schemas.microsoft.com/office/drawing/2014/main" id="{51E3DE01-9AB6-4382-AD04-977CC05FCE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249890</xdr:colOff>
      <xdr:row>7</xdr:row>
      <xdr:rowOff>114300</xdr:rowOff>
    </xdr:from>
    <xdr:to>
      <xdr:col>17</xdr:col>
      <xdr:colOff>605117</xdr:colOff>
      <xdr:row>22</xdr:row>
      <xdr:rowOff>0</xdr:rowOff>
    </xdr:to>
    <xdr:graphicFrame macro="">
      <xdr:nvGraphicFramePr>
        <xdr:cNvPr id="21" name="Chart 20">
          <a:extLst>
            <a:ext uri="{FF2B5EF4-FFF2-40B4-BE49-F238E27FC236}">
              <a16:creationId xmlns:a16="http://schemas.microsoft.com/office/drawing/2014/main" id="{7BEFA099-6835-490D-8612-9662AC1659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285749</xdr:colOff>
      <xdr:row>37</xdr:row>
      <xdr:rowOff>0</xdr:rowOff>
    </xdr:from>
    <xdr:to>
      <xdr:col>25</xdr:col>
      <xdr:colOff>571499</xdr:colOff>
      <xdr:row>51</xdr:row>
      <xdr:rowOff>95250</xdr:rowOff>
    </xdr:to>
    <xdr:graphicFrame macro="">
      <xdr:nvGraphicFramePr>
        <xdr:cNvPr id="22" name="Chart 21">
          <a:extLst>
            <a:ext uri="{FF2B5EF4-FFF2-40B4-BE49-F238E27FC236}">
              <a16:creationId xmlns:a16="http://schemas.microsoft.com/office/drawing/2014/main" id="{2F3060FE-C3C6-43DD-B142-9C006D25AF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268941</xdr:colOff>
      <xdr:row>21</xdr:row>
      <xdr:rowOff>114300</xdr:rowOff>
    </xdr:from>
    <xdr:to>
      <xdr:col>26</xdr:col>
      <xdr:colOff>0</xdr:colOff>
      <xdr:row>36</xdr:row>
      <xdr:rowOff>0</xdr:rowOff>
    </xdr:to>
    <xdr:graphicFrame macro="">
      <xdr:nvGraphicFramePr>
        <xdr:cNvPr id="23" name="Chart 22">
          <a:extLst>
            <a:ext uri="{FF2B5EF4-FFF2-40B4-BE49-F238E27FC236}">
              <a16:creationId xmlns:a16="http://schemas.microsoft.com/office/drawing/2014/main" id="{33AD548B-C369-4670-A0E5-4BEC09BA84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612320</xdr:colOff>
      <xdr:row>38</xdr:row>
      <xdr:rowOff>136070</xdr:rowOff>
    </xdr:from>
    <xdr:to>
      <xdr:col>18</xdr:col>
      <xdr:colOff>-1</xdr:colOff>
      <xdr:row>57</xdr:row>
      <xdr:rowOff>190499</xdr:rowOff>
    </xdr:to>
    <xdr:graphicFrame macro="">
      <xdr:nvGraphicFramePr>
        <xdr:cNvPr id="24" name="Chart 23">
          <a:extLst>
            <a:ext uri="{FF2B5EF4-FFF2-40B4-BE49-F238E27FC236}">
              <a16:creationId xmlns:a16="http://schemas.microsoft.com/office/drawing/2014/main" id="{0D143B52-1399-4A7E-AEA2-92FC26341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264584</xdr:colOff>
      <xdr:row>23</xdr:row>
      <xdr:rowOff>0</xdr:rowOff>
    </xdr:from>
    <xdr:to>
      <xdr:col>18</xdr:col>
      <xdr:colOff>0</xdr:colOff>
      <xdr:row>37</xdr:row>
      <xdr:rowOff>95250</xdr:rowOff>
    </xdr:to>
    <xdr:graphicFrame macro="">
      <xdr:nvGraphicFramePr>
        <xdr:cNvPr id="25" name="Chart 24">
          <a:extLst>
            <a:ext uri="{FF2B5EF4-FFF2-40B4-BE49-F238E27FC236}">
              <a16:creationId xmlns:a16="http://schemas.microsoft.com/office/drawing/2014/main" id="{397D4E88-F37B-43B3-B026-FC0EDDBF5E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309561</xdr:colOff>
      <xdr:row>52</xdr:row>
      <xdr:rowOff>130968</xdr:rowOff>
    </xdr:from>
    <xdr:to>
      <xdr:col>25</xdr:col>
      <xdr:colOff>571500</xdr:colOff>
      <xdr:row>73</xdr:row>
      <xdr:rowOff>83343</xdr:rowOff>
    </xdr:to>
    <xdr:graphicFrame macro="">
      <xdr:nvGraphicFramePr>
        <xdr:cNvPr id="26" name="Chart 25">
          <a:extLst>
            <a:ext uri="{FF2B5EF4-FFF2-40B4-BE49-F238E27FC236}">
              <a16:creationId xmlns:a16="http://schemas.microsoft.com/office/drawing/2014/main" id="{E5C69B0A-6521-44B5-B3C6-5AE2C74D80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59</xdr:row>
      <xdr:rowOff>0</xdr:rowOff>
    </xdr:from>
    <xdr:to>
      <xdr:col>10</xdr:col>
      <xdr:colOff>8506</xdr:colOff>
      <xdr:row>73</xdr:row>
      <xdr:rowOff>76200</xdr:rowOff>
    </xdr:to>
    <xdr:graphicFrame macro="">
      <xdr:nvGraphicFramePr>
        <xdr:cNvPr id="27" name="Chart 26">
          <a:extLst>
            <a:ext uri="{FF2B5EF4-FFF2-40B4-BE49-F238E27FC236}">
              <a16:creationId xmlns:a16="http://schemas.microsoft.com/office/drawing/2014/main" id="{1DE41333-E420-444A-9FF5-839CA0678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261938</xdr:colOff>
      <xdr:row>59</xdr:row>
      <xdr:rowOff>23813</xdr:rowOff>
    </xdr:from>
    <xdr:to>
      <xdr:col>18</xdr:col>
      <xdr:colOff>0</xdr:colOff>
      <xdr:row>73</xdr:row>
      <xdr:rowOff>23813</xdr:rowOff>
    </xdr:to>
    <xdr:graphicFrame macro="">
      <xdr:nvGraphicFramePr>
        <xdr:cNvPr id="28" name="Chart 27">
          <a:extLst>
            <a:ext uri="{FF2B5EF4-FFF2-40B4-BE49-F238E27FC236}">
              <a16:creationId xmlns:a16="http://schemas.microsoft.com/office/drawing/2014/main" id="{DF061346-EC56-4CC8-8732-A80057B05E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14</xdr:col>
      <xdr:colOff>473641</xdr:colOff>
      <xdr:row>2</xdr:row>
      <xdr:rowOff>178592</xdr:rowOff>
    </xdr:from>
    <xdr:to>
      <xdr:col>18</xdr:col>
      <xdr:colOff>119061</xdr:colOff>
      <xdr:row>6</xdr:row>
      <xdr:rowOff>178594</xdr:rowOff>
    </xdr:to>
    <mc:AlternateContent xmlns:mc="http://schemas.openxmlformats.org/markup-compatibility/2006" xmlns:a14="http://schemas.microsoft.com/office/drawing/2010/main">
      <mc:Choice Requires="a14">
        <xdr:graphicFrame macro="">
          <xdr:nvGraphicFramePr>
            <xdr:cNvPr id="30" name="Purchased Bike 1">
              <a:extLst>
                <a:ext uri="{FF2B5EF4-FFF2-40B4-BE49-F238E27FC236}">
                  <a16:creationId xmlns:a16="http://schemas.microsoft.com/office/drawing/2014/main" id="{D546CA49-E9F6-4C21-844E-423F89F5D69B}"/>
                </a:ext>
              </a:extLst>
            </xdr:cNvPr>
            <xdr:cNvGraphicFramePr/>
          </xdr:nvGraphicFramePr>
          <xdr:xfrm>
            <a:off x="0" y="0"/>
            <a:ext cx="0" cy="0"/>
          </xdr:xfrm>
          <a:graphic>
            <a:graphicData uri="http://schemas.microsoft.com/office/drawing/2010/slicer">
              <sle:slicer xmlns:sle="http://schemas.microsoft.com/office/drawing/2010/slicer" name="Purchased Bike 1"/>
            </a:graphicData>
          </a:graphic>
        </xdr:graphicFrame>
      </mc:Choice>
      <mc:Fallback xmlns="">
        <xdr:sp macro="" textlink="">
          <xdr:nvSpPr>
            <xdr:cNvPr id="0" name=""/>
            <xdr:cNvSpPr>
              <a:spLocks noTextEdit="1"/>
            </xdr:cNvSpPr>
          </xdr:nvSpPr>
          <xdr:spPr>
            <a:xfrm>
              <a:off x="9067308" y="559592"/>
              <a:ext cx="2100753" cy="7620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214312</xdr:colOff>
      <xdr:row>2</xdr:row>
      <xdr:rowOff>154782</xdr:rowOff>
    </xdr:from>
    <xdr:to>
      <xdr:col>21</xdr:col>
      <xdr:colOff>571499</xdr:colOff>
      <xdr:row>9</xdr:row>
      <xdr:rowOff>35719</xdr:rowOff>
    </xdr:to>
    <mc:AlternateContent xmlns:mc="http://schemas.openxmlformats.org/markup-compatibility/2006" xmlns:a14="http://schemas.microsoft.com/office/drawing/2010/main">
      <mc:Choice Requires="a14">
        <xdr:graphicFrame macro="">
          <xdr:nvGraphicFramePr>
            <xdr:cNvPr id="31" name="Region 1">
              <a:extLst>
                <a:ext uri="{FF2B5EF4-FFF2-40B4-BE49-F238E27FC236}">
                  <a16:creationId xmlns:a16="http://schemas.microsoft.com/office/drawing/2014/main" id="{B57CB7E9-A105-43E9-B1DB-2FB94D1B969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263312" y="535782"/>
              <a:ext cx="2198687" cy="1214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214313</xdr:colOff>
      <xdr:row>9</xdr:row>
      <xdr:rowOff>120146</xdr:rowOff>
    </xdr:from>
    <xdr:to>
      <xdr:col>21</xdr:col>
      <xdr:colOff>559593</xdr:colOff>
      <xdr:row>13</xdr:row>
      <xdr:rowOff>59532</xdr:rowOff>
    </xdr:to>
    <mc:AlternateContent xmlns:mc="http://schemas.openxmlformats.org/markup-compatibility/2006" xmlns:a14="http://schemas.microsoft.com/office/drawing/2010/main">
      <mc:Choice Requires="a14">
        <xdr:graphicFrame macro="">
          <xdr:nvGraphicFramePr>
            <xdr:cNvPr id="32" name="Category Children 1">
              <a:extLst>
                <a:ext uri="{FF2B5EF4-FFF2-40B4-BE49-F238E27FC236}">
                  <a16:creationId xmlns:a16="http://schemas.microsoft.com/office/drawing/2014/main" id="{C51DD167-D506-4CDA-AABC-27EA8415C70D}"/>
                </a:ext>
              </a:extLst>
            </xdr:cNvPr>
            <xdr:cNvGraphicFramePr/>
          </xdr:nvGraphicFramePr>
          <xdr:xfrm>
            <a:off x="0" y="0"/>
            <a:ext cx="0" cy="0"/>
          </xdr:xfrm>
          <a:graphic>
            <a:graphicData uri="http://schemas.microsoft.com/office/drawing/2010/slicer">
              <sle:slicer xmlns:sle="http://schemas.microsoft.com/office/drawing/2010/slicer" name="Category Children 1"/>
            </a:graphicData>
          </a:graphic>
        </xdr:graphicFrame>
      </mc:Choice>
      <mc:Fallback xmlns="">
        <xdr:sp macro="" textlink="">
          <xdr:nvSpPr>
            <xdr:cNvPr id="0" name=""/>
            <xdr:cNvSpPr>
              <a:spLocks noTextEdit="1"/>
            </xdr:cNvSpPr>
          </xdr:nvSpPr>
          <xdr:spPr>
            <a:xfrm>
              <a:off x="11263313" y="1834646"/>
              <a:ext cx="2186780" cy="701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166686</xdr:colOff>
      <xdr:row>2</xdr:row>
      <xdr:rowOff>130969</xdr:rowOff>
    </xdr:from>
    <xdr:to>
      <xdr:col>25</xdr:col>
      <xdr:colOff>571499</xdr:colOff>
      <xdr:row>9</xdr:row>
      <xdr:rowOff>154781</xdr:rowOff>
    </xdr:to>
    <mc:AlternateContent xmlns:mc="http://schemas.openxmlformats.org/markup-compatibility/2006" xmlns:a14="http://schemas.microsoft.com/office/drawing/2010/main">
      <mc:Choice Requires="a14">
        <xdr:graphicFrame macro="">
          <xdr:nvGraphicFramePr>
            <xdr:cNvPr id="33" name="Education 1">
              <a:extLst>
                <a:ext uri="{FF2B5EF4-FFF2-40B4-BE49-F238E27FC236}">
                  <a16:creationId xmlns:a16="http://schemas.microsoft.com/office/drawing/2014/main" id="{E9264C63-CFC6-4453-AA51-0B45FB436F65}"/>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13671019" y="511969"/>
              <a:ext cx="2246313" cy="1357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178594</xdr:colOff>
      <xdr:row>10</xdr:row>
      <xdr:rowOff>95251</xdr:rowOff>
    </xdr:from>
    <xdr:to>
      <xdr:col>25</xdr:col>
      <xdr:colOff>559594</xdr:colOff>
      <xdr:row>20</xdr:row>
      <xdr:rowOff>58692</xdr:rowOff>
    </xdr:to>
    <mc:AlternateContent xmlns:mc="http://schemas.openxmlformats.org/markup-compatibility/2006" xmlns:a14="http://schemas.microsoft.com/office/drawing/2010/main">
      <mc:Choice Requires="a14">
        <xdr:graphicFrame macro="">
          <xdr:nvGraphicFramePr>
            <xdr:cNvPr id="34" name="Occupation 1">
              <a:extLst>
                <a:ext uri="{FF2B5EF4-FFF2-40B4-BE49-F238E27FC236}">
                  <a16:creationId xmlns:a16="http://schemas.microsoft.com/office/drawing/2014/main" id="{0EA81785-C696-4207-AA3B-6568F1EFED6A}"/>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mlns="">
        <xdr:sp macro="" textlink="">
          <xdr:nvSpPr>
            <xdr:cNvPr id="0" name=""/>
            <xdr:cNvSpPr>
              <a:spLocks noTextEdit="1"/>
            </xdr:cNvSpPr>
          </xdr:nvSpPr>
          <xdr:spPr>
            <a:xfrm>
              <a:off x="13682927" y="2000251"/>
              <a:ext cx="2222500" cy="18684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226218</xdr:colOff>
      <xdr:row>14</xdr:row>
      <xdr:rowOff>0</xdr:rowOff>
    </xdr:from>
    <xdr:to>
      <xdr:col>22</xdr:col>
      <xdr:colOff>0</xdr:colOff>
      <xdr:row>20</xdr:row>
      <xdr:rowOff>95250</xdr:rowOff>
    </xdr:to>
    <xdr:sp macro="" textlink="Pivot!C4">
      <xdr:nvSpPr>
        <xdr:cNvPr id="36" name="Rectangle 35">
          <a:extLst>
            <a:ext uri="{FF2B5EF4-FFF2-40B4-BE49-F238E27FC236}">
              <a16:creationId xmlns:a16="http://schemas.microsoft.com/office/drawing/2014/main" id="{A3B8B5B1-D02C-47CA-82E8-B87C15D94F39}"/>
            </a:ext>
          </a:extLst>
        </xdr:cNvPr>
        <xdr:cNvSpPr/>
      </xdr:nvSpPr>
      <xdr:spPr>
        <a:xfrm>
          <a:off x="11156156" y="2667000"/>
          <a:ext cx="2202657" cy="1238250"/>
        </a:xfrm>
        <a:prstGeom prst="rect">
          <a:avLst/>
        </a:prstGeom>
        <a:solidFill>
          <a:srgbClr val="E3B9B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54E91AE-C19F-4CC5-9542-E0F68D611CF2}" type="TxLink">
            <a:rPr lang="en-US" sz="4000" b="1" i="0" u="none" strike="noStrike">
              <a:ln>
                <a:solidFill>
                  <a:schemeClr val="bg1"/>
                </a:solidFill>
              </a:ln>
              <a:solidFill>
                <a:schemeClr val="tx1"/>
              </a:solidFill>
              <a:latin typeface="Aptos Narrow"/>
            </a:rPr>
            <a:pPr algn="ctr"/>
            <a:t> 1,026 </a:t>
          </a:fld>
          <a:endParaRPr lang="en-US" sz="4000" b="1">
            <a:ln>
              <a:solidFill>
                <a:schemeClr val="bg1"/>
              </a:solidFill>
            </a:ln>
            <a:solidFill>
              <a:schemeClr val="tx1"/>
            </a:solidFill>
          </a:endParaRPr>
        </a:p>
      </xdr:txBody>
    </xdr:sp>
    <xdr:clientData/>
  </xdr:twoCellAnchor>
  <xdr:twoCellAnchor>
    <xdr:from>
      <xdr:col>18</xdr:col>
      <xdr:colOff>119063</xdr:colOff>
      <xdr:row>14</xdr:row>
      <xdr:rowOff>11905</xdr:rowOff>
    </xdr:from>
    <xdr:to>
      <xdr:col>21</xdr:col>
      <xdr:colOff>333375</xdr:colOff>
      <xdr:row>15</xdr:row>
      <xdr:rowOff>154780</xdr:rowOff>
    </xdr:to>
    <xdr:sp macro="" textlink="">
      <xdr:nvSpPr>
        <xdr:cNvPr id="37" name="TextBox 36">
          <a:extLst>
            <a:ext uri="{FF2B5EF4-FFF2-40B4-BE49-F238E27FC236}">
              <a16:creationId xmlns:a16="http://schemas.microsoft.com/office/drawing/2014/main" id="{FE2AEDFA-A9C4-2FAB-59EA-5778F133A20B}"/>
            </a:ext>
          </a:extLst>
        </xdr:cNvPr>
        <xdr:cNvSpPr txBox="1"/>
      </xdr:nvSpPr>
      <xdr:spPr>
        <a:xfrm>
          <a:off x="11049001" y="2678905"/>
          <a:ext cx="2035968"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TOTAL</a:t>
          </a:r>
          <a:r>
            <a:rPr lang="en-US" sz="1800" b="1" baseline="0"/>
            <a:t> CUSTOMER</a:t>
          </a:r>
          <a:endParaRPr lang="en-US" sz="18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 Paul Prudenciado" refreshedDate="45621.946230439811" createdVersion="8" refreshedVersion="8" minRefreshableVersion="3" recordCount="1026" xr:uid="{C954C17C-14CE-4C97-979A-8B4FF62C251D}">
  <cacheSource type="worksheet">
    <worksheetSource ref="A1:O1027" sheet="Bike_Sale_Worksheet_dashboard"/>
  </cacheSource>
  <cacheFields count="15">
    <cacheField name="ID" numFmtId="0">
      <sharedItems containsSemiMixedTypes="0" containsString="0" containsNumber="1" containsInteger="1" minValue="1" maxValue="1026"/>
    </cacheField>
    <cacheField name="Marital Status" numFmtId="0">
      <sharedItems/>
    </cacheField>
    <cacheField name="Gender" numFmtId="0">
      <sharedItems count="2">
        <s v="Female"/>
        <s v="Male"/>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Category Children" numFmtId="0">
      <sharedItems count="2">
        <s v="Have Child"/>
        <s v="NoChild"/>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ategory Cars" numFmtId="0">
      <sharedItems/>
    </cacheField>
    <cacheField name="Commute Distance" numFmtId="0">
      <sharedItems count="5">
        <s v="0-1 Miles"/>
        <s v="2-5 Miles"/>
        <s v="5-10 Miles"/>
        <s v="1-2 Miles"/>
        <s v="More Than 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ount="2">
        <s v="No"/>
        <s v="Yes"/>
      </sharedItems>
    </cacheField>
  </cacheFields>
  <extLst>
    <ext xmlns:x14="http://schemas.microsoft.com/office/spreadsheetml/2009/9/main" uri="{725AE2AE-9491-48be-B2B4-4EB974FC3084}">
      <x14:pivotCacheDefinition pivotCacheId="10019041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
    <s v="Married"/>
    <x v="0"/>
    <n v="40000"/>
    <n v="1"/>
    <x v="0"/>
    <x v="0"/>
    <x v="0"/>
    <s v="Yes"/>
    <n v="0"/>
    <s v="NoCar"/>
    <x v="0"/>
    <x v="0"/>
    <n v="42"/>
    <x v="0"/>
  </r>
  <r>
    <n v="2"/>
    <s v="Married"/>
    <x v="1"/>
    <n v="30000"/>
    <n v="3"/>
    <x v="0"/>
    <x v="1"/>
    <x v="1"/>
    <s v="Yes"/>
    <n v="1"/>
    <s v="Have Car"/>
    <x v="0"/>
    <x v="0"/>
    <n v="43"/>
    <x v="0"/>
  </r>
  <r>
    <n v="3"/>
    <s v="Married"/>
    <x v="1"/>
    <n v="80000"/>
    <n v="5"/>
    <x v="0"/>
    <x v="1"/>
    <x v="2"/>
    <s v="No"/>
    <n v="2"/>
    <s v="Have Car"/>
    <x v="1"/>
    <x v="0"/>
    <n v="60"/>
    <x v="0"/>
  </r>
  <r>
    <n v="4"/>
    <s v="Single"/>
    <x v="1"/>
    <n v="70000"/>
    <n v="0"/>
    <x v="1"/>
    <x v="0"/>
    <x v="2"/>
    <s v="Yes"/>
    <n v="1"/>
    <s v="Have Car"/>
    <x v="2"/>
    <x v="1"/>
    <n v="41"/>
    <x v="1"/>
  </r>
  <r>
    <n v="5"/>
    <s v="Single"/>
    <x v="1"/>
    <n v="30000"/>
    <n v="0"/>
    <x v="1"/>
    <x v="0"/>
    <x v="1"/>
    <s v="No"/>
    <n v="0"/>
    <s v="NoCar"/>
    <x v="0"/>
    <x v="0"/>
    <n v="36"/>
    <x v="1"/>
  </r>
  <r>
    <n v="6"/>
    <s v="Married"/>
    <x v="0"/>
    <n v="10000"/>
    <n v="2"/>
    <x v="0"/>
    <x v="1"/>
    <x v="3"/>
    <s v="Yes"/>
    <n v="0"/>
    <s v="NoCar"/>
    <x v="3"/>
    <x v="0"/>
    <n v="50"/>
    <x v="0"/>
  </r>
  <r>
    <n v="7"/>
    <s v="Single"/>
    <x v="1"/>
    <n v="160000"/>
    <n v="2"/>
    <x v="0"/>
    <x v="2"/>
    <x v="4"/>
    <s v="Yes"/>
    <n v="4"/>
    <s v="Have Car"/>
    <x v="0"/>
    <x v="1"/>
    <n v="33"/>
    <x v="1"/>
  </r>
  <r>
    <n v="8"/>
    <s v="Married"/>
    <x v="1"/>
    <n v="40000"/>
    <n v="1"/>
    <x v="0"/>
    <x v="0"/>
    <x v="0"/>
    <s v="Yes"/>
    <n v="0"/>
    <s v="NoCar"/>
    <x v="0"/>
    <x v="0"/>
    <n v="43"/>
    <x v="1"/>
  </r>
  <r>
    <n v="9"/>
    <s v="Married"/>
    <x v="1"/>
    <n v="20000"/>
    <n v="2"/>
    <x v="0"/>
    <x v="3"/>
    <x v="1"/>
    <s v="Yes"/>
    <n v="2"/>
    <s v="Have Car"/>
    <x v="2"/>
    <x v="1"/>
    <n v="58"/>
    <x v="0"/>
  </r>
  <r>
    <n v="10"/>
    <s v="Married"/>
    <x v="1"/>
    <n v="120000"/>
    <n v="2"/>
    <x v="0"/>
    <x v="1"/>
    <x v="3"/>
    <s v="Yes"/>
    <n v="1"/>
    <s v="Have Car"/>
    <x v="0"/>
    <x v="0"/>
    <n v="40"/>
    <x v="1"/>
  </r>
  <r>
    <n v="11"/>
    <s v="Married"/>
    <x v="0"/>
    <n v="30000"/>
    <n v="3"/>
    <x v="0"/>
    <x v="2"/>
    <x v="0"/>
    <s v="No"/>
    <n v="2"/>
    <s v="Have Car"/>
    <x v="3"/>
    <x v="1"/>
    <n v="54"/>
    <x v="1"/>
  </r>
  <r>
    <n v="12"/>
    <s v="Single"/>
    <x v="0"/>
    <n v="90000"/>
    <n v="0"/>
    <x v="1"/>
    <x v="0"/>
    <x v="2"/>
    <s v="No"/>
    <n v="4"/>
    <s v="Have Car"/>
    <x v="4"/>
    <x v="1"/>
    <n v="36"/>
    <x v="0"/>
  </r>
  <r>
    <n v="13"/>
    <s v="Married"/>
    <x v="1"/>
    <n v="170000"/>
    <n v="5"/>
    <x v="0"/>
    <x v="1"/>
    <x v="2"/>
    <s v="Yes"/>
    <n v="0"/>
    <s v="NoCar"/>
    <x v="0"/>
    <x v="0"/>
    <n v="55"/>
    <x v="0"/>
  </r>
  <r>
    <n v="14"/>
    <s v="Married"/>
    <x v="1"/>
    <n v="40000"/>
    <n v="2"/>
    <x v="0"/>
    <x v="1"/>
    <x v="1"/>
    <s v="Yes"/>
    <n v="1"/>
    <s v="Have Car"/>
    <x v="3"/>
    <x v="0"/>
    <n v="35"/>
    <x v="1"/>
  </r>
  <r>
    <n v="15"/>
    <s v="Single"/>
    <x v="1"/>
    <n v="60000"/>
    <n v="1"/>
    <x v="0"/>
    <x v="1"/>
    <x v="0"/>
    <s v="No"/>
    <n v="1"/>
    <s v="Have Car"/>
    <x v="0"/>
    <x v="1"/>
    <n v="45"/>
    <x v="1"/>
  </r>
  <r>
    <n v="16"/>
    <s v="Single"/>
    <x v="0"/>
    <n v="10000"/>
    <n v="2"/>
    <x v="0"/>
    <x v="2"/>
    <x v="3"/>
    <s v="Yes"/>
    <n v="1"/>
    <s v="Have Car"/>
    <x v="0"/>
    <x v="0"/>
    <n v="38"/>
    <x v="1"/>
  </r>
  <r>
    <n v="17"/>
    <s v="Single"/>
    <x v="1"/>
    <n v="30000"/>
    <n v="3"/>
    <x v="0"/>
    <x v="1"/>
    <x v="1"/>
    <s v="No"/>
    <n v="2"/>
    <s v="Have Car"/>
    <x v="3"/>
    <x v="1"/>
    <n v="59"/>
    <x v="1"/>
  </r>
  <r>
    <n v="18"/>
    <s v="Married"/>
    <x v="0"/>
    <n v="30000"/>
    <n v="1"/>
    <x v="0"/>
    <x v="0"/>
    <x v="1"/>
    <s v="Yes"/>
    <n v="0"/>
    <s v="NoCar"/>
    <x v="0"/>
    <x v="0"/>
    <n v="47"/>
    <x v="0"/>
  </r>
  <r>
    <n v="19"/>
    <s v="Single"/>
    <x v="1"/>
    <n v="40000"/>
    <n v="2"/>
    <x v="0"/>
    <x v="1"/>
    <x v="1"/>
    <s v="Yes"/>
    <n v="1"/>
    <s v="Have Car"/>
    <x v="3"/>
    <x v="0"/>
    <n v="35"/>
    <x v="1"/>
  </r>
  <r>
    <n v="20"/>
    <s v="Single"/>
    <x v="1"/>
    <n v="20000"/>
    <n v="2"/>
    <x v="0"/>
    <x v="3"/>
    <x v="1"/>
    <s v="Yes"/>
    <n v="2"/>
    <s v="Have Car"/>
    <x v="2"/>
    <x v="1"/>
    <n v="55"/>
    <x v="1"/>
  </r>
  <r>
    <n v="21"/>
    <s v="Married"/>
    <x v="0"/>
    <n v="40000"/>
    <n v="0"/>
    <x v="1"/>
    <x v="4"/>
    <x v="1"/>
    <s v="Yes"/>
    <n v="0"/>
    <s v="NoCar"/>
    <x v="0"/>
    <x v="0"/>
    <n v="36"/>
    <x v="1"/>
  </r>
  <r>
    <n v="22"/>
    <s v="Single"/>
    <x v="0"/>
    <n v="80000"/>
    <n v="0"/>
    <x v="1"/>
    <x v="0"/>
    <x v="2"/>
    <s v="Yes"/>
    <n v="4"/>
    <s v="Have Car"/>
    <x v="4"/>
    <x v="1"/>
    <n v="35"/>
    <x v="0"/>
  </r>
  <r>
    <n v="23"/>
    <s v="Single"/>
    <x v="1"/>
    <n v="40000"/>
    <n v="2"/>
    <x v="0"/>
    <x v="1"/>
    <x v="1"/>
    <s v="Yes"/>
    <n v="0"/>
    <s v="NoCar"/>
    <x v="3"/>
    <x v="0"/>
    <n v="35"/>
    <x v="1"/>
  </r>
  <r>
    <n v="24"/>
    <s v="Married"/>
    <x v="0"/>
    <n v="80000"/>
    <n v="5"/>
    <x v="0"/>
    <x v="2"/>
    <x v="4"/>
    <s v="No"/>
    <n v="3"/>
    <s v="Have Car"/>
    <x v="2"/>
    <x v="0"/>
    <n v="56"/>
    <x v="0"/>
  </r>
  <r>
    <n v="25"/>
    <s v="Single"/>
    <x v="1"/>
    <n v="40000"/>
    <n v="2"/>
    <x v="0"/>
    <x v="1"/>
    <x v="1"/>
    <s v="No"/>
    <n v="1"/>
    <s v="Have Car"/>
    <x v="0"/>
    <x v="0"/>
    <n v="34"/>
    <x v="0"/>
  </r>
  <r>
    <n v="26"/>
    <s v="Single"/>
    <x v="1"/>
    <n v="30000"/>
    <n v="1"/>
    <x v="0"/>
    <x v="0"/>
    <x v="1"/>
    <s v="Yes"/>
    <n v="0"/>
    <s v="NoCar"/>
    <x v="0"/>
    <x v="0"/>
    <n v="63"/>
    <x v="0"/>
  </r>
  <r>
    <n v="27"/>
    <s v="Single"/>
    <x v="1"/>
    <n v="30000"/>
    <n v="0"/>
    <x v="1"/>
    <x v="1"/>
    <x v="1"/>
    <s v="No"/>
    <n v="1"/>
    <s v="Have Car"/>
    <x v="0"/>
    <x v="0"/>
    <n v="29"/>
    <x v="1"/>
  </r>
  <r>
    <n v="28"/>
    <s v="Single"/>
    <x v="0"/>
    <n v="100000"/>
    <n v="0"/>
    <x v="1"/>
    <x v="0"/>
    <x v="2"/>
    <s v="No"/>
    <n v="1"/>
    <s v="Have Car"/>
    <x v="2"/>
    <x v="1"/>
    <n v="40"/>
    <x v="0"/>
  </r>
  <r>
    <n v="29"/>
    <s v="Married"/>
    <x v="1"/>
    <n v="70000"/>
    <n v="5"/>
    <x v="0"/>
    <x v="1"/>
    <x v="0"/>
    <s v="Yes"/>
    <n v="2"/>
    <s v="Have Car"/>
    <x v="2"/>
    <x v="1"/>
    <n v="44"/>
    <x v="0"/>
  </r>
  <r>
    <n v="30"/>
    <s v="Single"/>
    <x v="0"/>
    <n v="20000"/>
    <n v="0"/>
    <x v="1"/>
    <x v="3"/>
    <x v="3"/>
    <s v="No"/>
    <n v="2"/>
    <s v="Have Car"/>
    <x v="0"/>
    <x v="0"/>
    <n v="32"/>
    <x v="1"/>
  </r>
  <r>
    <n v="31"/>
    <s v="Married"/>
    <x v="0"/>
    <n v="20000"/>
    <n v="2"/>
    <x v="0"/>
    <x v="1"/>
    <x v="3"/>
    <s v="Yes"/>
    <n v="0"/>
    <s v="NoCar"/>
    <x v="0"/>
    <x v="0"/>
    <n v="63"/>
    <x v="0"/>
  </r>
  <r>
    <n v="32"/>
    <s v="Married"/>
    <x v="1"/>
    <n v="10000"/>
    <n v="0"/>
    <x v="1"/>
    <x v="1"/>
    <x v="3"/>
    <s v="No"/>
    <n v="1"/>
    <s v="Have Car"/>
    <x v="0"/>
    <x v="1"/>
    <n v="26"/>
    <x v="1"/>
  </r>
  <r>
    <n v="33"/>
    <s v="Single"/>
    <x v="0"/>
    <n v="20000"/>
    <n v="0"/>
    <x v="1"/>
    <x v="2"/>
    <x v="3"/>
    <s v="No"/>
    <n v="1"/>
    <s v="Have Car"/>
    <x v="2"/>
    <x v="0"/>
    <n v="31"/>
    <x v="0"/>
  </r>
  <r>
    <n v="34"/>
    <s v="Single"/>
    <x v="1"/>
    <n v="80000"/>
    <n v="2"/>
    <x v="0"/>
    <x v="2"/>
    <x v="0"/>
    <s v="No"/>
    <n v="2"/>
    <s v="Have Car"/>
    <x v="3"/>
    <x v="1"/>
    <n v="50"/>
    <x v="1"/>
  </r>
  <r>
    <n v="35"/>
    <s v="Single"/>
    <x v="1"/>
    <n v="90000"/>
    <n v="5"/>
    <x v="0"/>
    <x v="1"/>
    <x v="2"/>
    <s v="No"/>
    <n v="2"/>
    <s v="Have Car"/>
    <x v="1"/>
    <x v="0"/>
    <n v="62"/>
    <x v="1"/>
  </r>
  <r>
    <n v="36"/>
    <s v="Single"/>
    <x v="0"/>
    <n v="10000"/>
    <n v="5"/>
    <x v="0"/>
    <x v="3"/>
    <x v="3"/>
    <s v="No"/>
    <n v="2"/>
    <s v="Have Car"/>
    <x v="0"/>
    <x v="0"/>
    <n v="41"/>
    <x v="0"/>
  </r>
  <r>
    <n v="37"/>
    <s v="Married"/>
    <x v="0"/>
    <n v="10000"/>
    <n v="2"/>
    <x v="0"/>
    <x v="1"/>
    <x v="3"/>
    <s v="Yes"/>
    <n v="1"/>
    <s v="Have Car"/>
    <x v="0"/>
    <x v="0"/>
    <n v="50"/>
    <x v="1"/>
  </r>
  <r>
    <n v="38"/>
    <s v="Single"/>
    <x v="0"/>
    <n v="30000"/>
    <n v="0"/>
    <x v="1"/>
    <x v="1"/>
    <x v="1"/>
    <s v="No"/>
    <n v="1"/>
    <s v="Have Car"/>
    <x v="1"/>
    <x v="0"/>
    <n v="30"/>
    <x v="0"/>
  </r>
  <r>
    <n v="39"/>
    <s v="Single"/>
    <x v="1"/>
    <n v="20000"/>
    <n v="0"/>
    <x v="1"/>
    <x v="2"/>
    <x v="3"/>
    <s v="No"/>
    <n v="1"/>
    <s v="Have Car"/>
    <x v="1"/>
    <x v="0"/>
    <n v="28"/>
    <x v="0"/>
  </r>
  <r>
    <n v="40"/>
    <s v="Single"/>
    <x v="0"/>
    <n v="10000"/>
    <n v="4"/>
    <x v="0"/>
    <x v="3"/>
    <x v="3"/>
    <s v="Yes"/>
    <n v="2"/>
    <s v="Have Car"/>
    <x v="0"/>
    <x v="0"/>
    <n v="40"/>
    <x v="1"/>
  </r>
  <r>
    <n v="41"/>
    <s v="Single"/>
    <x v="0"/>
    <n v="30000"/>
    <n v="2"/>
    <x v="0"/>
    <x v="1"/>
    <x v="1"/>
    <s v="No"/>
    <n v="0"/>
    <s v="NoCar"/>
    <x v="0"/>
    <x v="0"/>
    <n v="43"/>
    <x v="0"/>
  </r>
  <r>
    <n v="42"/>
    <s v="Single"/>
    <x v="0"/>
    <n v="40000"/>
    <n v="2"/>
    <x v="0"/>
    <x v="0"/>
    <x v="4"/>
    <s v="Yes"/>
    <n v="2"/>
    <s v="Have Car"/>
    <x v="2"/>
    <x v="1"/>
    <n v="65"/>
    <x v="1"/>
  </r>
  <r>
    <n v="43"/>
    <s v="Married"/>
    <x v="0"/>
    <n v="10000"/>
    <n v="1"/>
    <x v="0"/>
    <x v="4"/>
    <x v="3"/>
    <s v="Yes"/>
    <n v="0"/>
    <s v="NoCar"/>
    <x v="0"/>
    <x v="0"/>
    <n v="40"/>
    <x v="0"/>
  </r>
  <r>
    <n v="44"/>
    <s v="Married"/>
    <x v="0"/>
    <n v="170000"/>
    <n v="4"/>
    <x v="0"/>
    <x v="1"/>
    <x v="2"/>
    <s v="No"/>
    <n v="3"/>
    <s v="Have Car"/>
    <x v="2"/>
    <x v="0"/>
    <n v="48"/>
    <x v="1"/>
  </r>
  <r>
    <n v="45"/>
    <s v="Married"/>
    <x v="0"/>
    <n v="20000"/>
    <n v="3"/>
    <x v="0"/>
    <x v="2"/>
    <x v="3"/>
    <s v="Yes"/>
    <n v="0"/>
    <s v="NoCar"/>
    <x v="0"/>
    <x v="0"/>
    <n v="41"/>
    <x v="1"/>
  </r>
  <r>
    <n v="46"/>
    <s v="Married"/>
    <x v="0"/>
    <n v="20000"/>
    <n v="1"/>
    <x v="0"/>
    <x v="0"/>
    <x v="1"/>
    <s v="Yes"/>
    <n v="0"/>
    <s v="NoCar"/>
    <x v="0"/>
    <x v="0"/>
    <n v="66"/>
    <x v="1"/>
  </r>
  <r>
    <n v="47"/>
    <s v="Married"/>
    <x v="0"/>
    <n v="60000"/>
    <n v="1"/>
    <x v="0"/>
    <x v="1"/>
    <x v="0"/>
    <s v="Yes"/>
    <n v="1"/>
    <s v="Have Car"/>
    <x v="2"/>
    <x v="1"/>
    <n v="46"/>
    <x v="1"/>
  </r>
  <r>
    <n v="48"/>
    <s v="Single"/>
    <x v="0"/>
    <n v="40000"/>
    <n v="2"/>
    <x v="0"/>
    <x v="1"/>
    <x v="0"/>
    <s v="Yes"/>
    <n v="2"/>
    <s v="Have Car"/>
    <x v="2"/>
    <x v="1"/>
    <n v="52"/>
    <x v="1"/>
  </r>
  <r>
    <n v="49"/>
    <s v="Married"/>
    <x v="1"/>
    <n v="30000"/>
    <n v="2"/>
    <x v="0"/>
    <x v="1"/>
    <x v="1"/>
    <s v="No"/>
    <n v="2"/>
    <s v="Have Car"/>
    <x v="0"/>
    <x v="0"/>
    <n v="42"/>
    <x v="0"/>
  </r>
  <r>
    <n v="50"/>
    <s v="Single"/>
    <x v="1"/>
    <n v="40000"/>
    <n v="0"/>
    <x v="1"/>
    <x v="0"/>
    <x v="1"/>
    <s v="Yes"/>
    <n v="0"/>
    <s v="NoCar"/>
    <x v="0"/>
    <x v="0"/>
    <n v="39"/>
    <x v="1"/>
  </r>
  <r>
    <n v="51"/>
    <s v="Single"/>
    <x v="0"/>
    <n v="30000"/>
    <n v="0"/>
    <x v="1"/>
    <x v="1"/>
    <x v="1"/>
    <s v="No"/>
    <n v="1"/>
    <s v="Have Car"/>
    <x v="0"/>
    <x v="0"/>
    <n v="28"/>
    <x v="0"/>
  </r>
  <r>
    <n v="52"/>
    <s v="Single"/>
    <x v="1"/>
    <n v="80000"/>
    <n v="0"/>
    <x v="1"/>
    <x v="0"/>
    <x v="2"/>
    <s v="No"/>
    <n v="4"/>
    <s v="Have Car"/>
    <x v="4"/>
    <x v="1"/>
    <n v="35"/>
    <x v="0"/>
  </r>
  <r>
    <n v="53"/>
    <s v="Married"/>
    <x v="0"/>
    <n v="20000"/>
    <n v="1"/>
    <x v="0"/>
    <x v="0"/>
    <x v="1"/>
    <s v="Yes"/>
    <n v="0"/>
    <s v="NoCar"/>
    <x v="0"/>
    <x v="0"/>
    <n v="65"/>
    <x v="0"/>
  </r>
  <r>
    <n v="54"/>
    <s v="Single"/>
    <x v="0"/>
    <n v="90000"/>
    <n v="4"/>
    <x v="0"/>
    <x v="2"/>
    <x v="4"/>
    <s v="No"/>
    <n v="3"/>
    <s v="Have Car"/>
    <x v="2"/>
    <x v="0"/>
    <n v="56"/>
    <x v="0"/>
  </r>
  <r>
    <n v="55"/>
    <s v="Single"/>
    <x v="0"/>
    <n v="70000"/>
    <n v="0"/>
    <x v="1"/>
    <x v="0"/>
    <x v="2"/>
    <s v="No"/>
    <n v="1"/>
    <s v="Have Car"/>
    <x v="2"/>
    <x v="1"/>
    <n v="42"/>
    <x v="0"/>
  </r>
  <r>
    <n v="56"/>
    <s v="Married"/>
    <x v="1"/>
    <n v="80000"/>
    <n v="4"/>
    <x v="0"/>
    <x v="2"/>
    <x v="2"/>
    <s v="Yes"/>
    <n v="2"/>
    <s v="Have Car"/>
    <x v="4"/>
    <x v="0"/>
    <n v="54"/>
    <x v="0"/>
  </r>
  <r>
    <n v="57"/>
    <s v="Married"/>
    <x v="1"/>
    <n v="40000"/>
    <n v="0"/>
    <x v="1"/>
    <x v="0"/>
    <x v="1"/>
    <s v="Yes"/>
    <n v="0"/>
    <s v="NoCar"/>
    <x v="0"/>
    <x v="0"/>
    <n v="38"/>
    <x v="1"/>
  </r>
  <r>
    <n v="58"/>
    <s v="Married"/>
    <x v="1"/>
    <n v="130000"/>
    <n v="4"/>
    <x v="0"/>
    <x v="1"/>
    <x v="2"/>
    <s v="No"/>
    <n v="4"/>
    <s v="Have Car"/>
    <x v="2"/>
    <x v="0"/>
    <n v="61"/>
    <x v="1"/>
  </r>
  <r>
    <n v="59"/>
    <s v="Married"/>
    <x v="0"/>
    <n v="40000"/>
    <n v="1"/>
    <x v="0"/>
    <x v="0"/>
    <x v="0"/>
    <s v="Yes"/>
    <n v="0"/>
    <s v="NoCar"/>
    <x v="0"/>
    <x v="0"/>
    <n v="43"/>
    <x v="1"/>
  </r>
  <r>
    <n v="60"/>
    <s v="Married"/>
    <x v="1"/>
    <n v="60000"/>
    <n v="2"/>
    <x v="0"/>
    <x v="0"/>
    <x v="2"/>
    <s v="Yes"/>
    <n v="1"/>
    <s v="Have Car"/>
    <x v="1"/>
    <x v="1"/>
    <n v="38"/>
    <x v="1"/>
  </r>
  <r>
    <n v="61"/>
    <s v="Single"/>
    <x v="0"/>
    <n v="10000"/>
    <n v="1"/>
    <x v="0"/>
    <x v="2"/>
    <x v="3"/>
    <s v="No"/>
    <n v="1"/>
    <s v="Have Car"/>
    <x v="3"/>
    <x v="0"/>
    <n v="45"/>
    <x v="0"/>
  </r>
  <r>
    <n v="62"/>
    <s v="Single"/>
    <x v="0"/>
    <n v="10000"/>
    <n v="2"/>
    <x v="0"/>
    <x v="2"/>
    <x v="3"/>
    <s v="Yes"/>
    <n v="0"/>
    <s v="NoCar"/>
    <x v="0"/>
    <x v="0"/>
    <n v="35"/>
    <x v="0"/>
  </r>
  <r>
    <n v="63"/>
    <s v="Married"/>
    <x v="1"/>
    <n v="40000"/>
    <n v="2"/>
    <x v="0"/>
    <x v="0"/>
    <x v="4"/>
    <s v="Yes"/>
    <n v="1"/>
    <s v="Have Car"/>
    <x v="0"/>
    <x v="1"/>
    <n v="52"/>
    <x v="1"/>
  </r>
  <r>
    <n v="64"/>
    <s v="Single"/>
    <x v="1"/>
    <n v="60000"/>
    <n v="4"/>
    <x v="0"/>
    <x v="0"/>
    <x v="2"/>
    <s v="Yes"/>
    <n v="3"/>
    <s v="Have Car"/>
    <x v="4"/>
    <x v="1"/>
    <n v="41"/>
    <x v="0"/>
  </r>
  <r>
    <n v="65"/>
    <s v="Married"/>
    <x v="0"/>
    <n v="30000"/>
    <n v="1"/>
    <x v="0"/>
    <x v="0"/>
    <x v="1"/>
    <s v="Yes"/>
    <n v="0"/>
    <s v="NoCar"/>
    <x v="0"/>
    <x v="0"/>
    <n v="37"/>
    <x v="1"/>
  </r>
  <r>
    <n v="66"/>
    <s v="Single"/>
    <x v="1"/>
    <n v="30000"/>
    <n v="2"/>
    <x v="0"/>
    <x v="1"/>
    <x v="1"/>
    <s v="Yes"/>
    <n v="2"/>
    <s v="Have Car"/>
    <x v="2"/>
    <x v="1"/>
    <n v="68"/>
    <x v="0"/>
  </r>
  <r>
    <n v="67"/>
    <s v="Married"/>
    <x v="0"/>
    <n v="40000"/>
    <n v="0"/>
    <x v="1"/>
    <x v="4"/>
    <x v="1"/>
    <s v="Yes"/>
    <n v="0"/>
    <s v="NoCar"/>
    <x v="0"/>
    <x v="0"/>
    <n v="37"/>
    <x v="1"/>
  </r>
  <r>
    <n v="68"/>
    <s v="Single"/>
    <x v="1"/>
    <n v="30000"/>
    <n v="0"/>
    <x v="1"/>
    <x v="2"/>
    <x v="3"/>
    <s v="Yes"/>
    <n v="1"/>
    <s v="Have Car"/>
    <x v="1"/>
    <x v="0"/>
    <n v="33"/>
    <x v="1"/>
  </r>
  <r>
    <n v="69"/>
    <s v="Single"/>
    <x v="0"/>
    <n v="20000"/>
    <n v="4"/>
    <x v="0"/>
    <x v="2"/>
    <x v="3"/>
    <s v="Yes"/>
    <n v="1"/>
    <s v="Have Car"/>
    <x v="0"/>
    <x v="0"/>
    <n v="43"/>
    <x v="1"/>
  </r>
  <r>
    <n v="70"/>
    <s v="Married"/>
    <x v="0"/>
    <n v="10000"/>
    <n v="0"/>
    <x v="1"/>
    <x v="3"/>
    <x v="3"/>
    <s v="No"/>
    <n v="2"/>
    <s v="Have Car"/>
    <x v="0"/>
    <x v="0"/>
    <n v="30"/>
    <x v="0"/>
  </r>
  <r>
    <n v="71"/>
    <s v="Married"/>
    <x v="1"/>
    <n v="120000"/>
    <n v="0"/>
    <x v="1"/>
    <x v="3"/>
    <x v="2"/>
    <s v="Yes"/>
    <n v="4"/>
    <s v="Have Car"/>
    <x v="4"/>
    <x v="1"/>
    <n v="36"/>
    <x v="1"/>
  </r>
  <r>
    <n v="72"/>
    <s v="Single"/>
    <x v="0"/>
    <n v="10000"/>
    <n v="0"/>
    <x v="1"/>
    <x v="3"/>
    <x v="3"/>
    <s v="No"/>
    <n v="2"/>
    <s v="Have Car"/>
    <x v="0"/>
    <x v="0"/>
    <n v="35"/>
    <x v="0"/>
  </r>
  <r>
    <n v="73"/>
    <s v="Married"/>
    <x v="0"/>
    <n v="130000"/>
    <n v="3"/>
    <x v="0"/>
    <x v="2"/>
    <x v="2"/>
    <s v="Yes"/>
    <n v="4"/>
    <s v="Have Car"/>
    <x v="0"/>
    <x v="0"/>
    <n v="52"/>
    <x v="0"/>
  </r>
  <r>
    <n v="74"/>
    <s v="Single"/>
    <x v="0"/>
    <n v="20000"/>
    <n v="0"/>
    <x v="1"/>
    <x v="1"/>
    <x v="3"/>
    <s v="No"/>
    <n v="1"/>
    <s v="Have Car"/>
    <x v="1"/>
    <x v="0"/>
    <n v="36"/>
    <x v="1"/>
  </r>
  <r>
    <n v="75"/>
    <s v="Married"/>
    <x v="0"/>
    <n v="20000"/>
    <n v="3"/>
    <x v="0"/>
    <x v="2"/>
    <x v="0"/>
    <s v="No"/>
    <n v="2"/>
    <s v="Have Car"/>
    <x v="3"/>
    <x v="1"/>
    <n v="62"/>
    <x v="0"/>
  </r>
  <r>
    <n v="76"/>
    <s v="Single"/>
    <x v="0"/>
    <n v="130000"/>
    <n v="4"/>
    <x v="0"/>
    <x v="2"/>
    <x v="4"/>
    <s v="Yes"/>
    <n v="4"/>
    <s v="Have Car"/>
    <x v="0"/>
    <x v="1"/>
    <n v="31"/>
    <x v="0"/>
  </r>
  <r>
    <n v="77"/>
    <s v="Single"/>
    <x v="0"/>
    <n v="20000"/>
    <n v="0"/>
    <x v="1"/>
    <x v="3"/>
    <x v="3"/>
    <s v="No"/>
    <n v="2"/>
    <s v="Have Car"/>
    <x v="3"/>
    <x v="0"/>
    <n v="26"/>
    <x v="0"/>
  </r>
  <r>
    <n v="78"/>
    <s v="Married"/>
    <x v="1"/>
    <n v="80000"/>
    <n v="0"/>
    <x v="1"/>
    <x v="0"/>
    <x v="2"/>
    <s v="Yes"/>
    <n v="2"/>
    <s v="Have Car"/>
    <x v="4"/>
    <x v="1"/>
    <n v="29"/>
    <x v="1"/>
  </r>
  <r>
    <n v="79"/>
    <s v="Married"/>
    <x v="1"/>
    <n v="80000"/>
    <n v="2"/>
    <x v="0"/>
    <x v="2"/>
    <x v="0"/>
    <s v="No"/>
    <n v="2"/>
    <s v="Have Car"/>
    <x v="3"/>
    <x v="1"/>
    <n v="50"/>
    <x v="1"/>
  </r>
  <r>
    <n v="80"/>
    <s v="Single"/>
    <x v="1"/>
    <n v="40000"/>
    <n v="2"/>
    <x v="0"/>
    <x v="0"/>
    <x v="4"/>
    <s v="Yes"/>
    <n v="2"/>
    <s v="Have Car"/>
    <x v="2"/>
    <x v="1"/>
    <n v="63"/>
    <x v="1"/>
  </r>
  <r>
    <n v="81"/>
    <s v="Married"/>
    <x v="0"/>
    <n v="30000"/>
    <n v="4"/>
    <x v="0"/>
    <x v="4"/>
    <x v="1"/>
    <s v="Yes"/>
    <n v="0"/>
    <s v="NoCar"/>
    <x v="0"/>
    <x v="0"/>
    <n v="45"/>
    <x v="1"/>
  </r>
  <r>
    <n v="82"/>
    <s v="Single"/>
    <x v="0"/>
    <n v="10000"/>
    <n v="4"/>
    <x v="0"/>
    <x v="3"/>
    <x v="3"/>
    <s v="Yes"/>
    <n v="2"/>
    <s v="Have Car"/>
    <x v="0"/>
    <x v="0"/>
    <n v="40"/>
    <x v="0"/>
  </r>
  <r>
    <n v="83"/>
    <s v="Married"/>
    <x v="1"/>
    <n v="30000"/>
    <n v="0"/>
    <x v="1"/>
    <x v="0"/>
    <x v="1"/>
    <s v="Yes"/>
    <n v="0"/>
    <s v="NoCar"/>
    <x v="0"/>
    <x v="0"/>
    <n v="47"/>
    <x v="1"/>
  </r>
  <r>
    <n v="84"/>
    <s v="Single"/>
    <x v="1"/>
    <n v="20000"/>
    <n v="0"/>
    <x v="1"/>
    <x v="2"/>
    <x v="3"/>
    <s v="No"/>
    <n v="1"/>
    <s v="Have Car"/>
    <x v="1"/>
    <x v="0"/>
    <n v="29"/>
    <x v="0"/>
  </r>
  <r>
    <n v="85"/>
    <s v="Single"/>
    <x v="1"/>
    <n v="40000"/>
    <n v="2"/>
    <x v="0"/>
    <x v="0"/>
    <x v="4"/>
    <s v="No"/>
    <n v="1"/>
    <s v="Have Car"/>
    <x v="2"/>
    <x v="1"/>
    <n v="52"/>
    <x v="1"/>
  </r>
  <r>
    <n v="86"/>
    <s v="Single"/>
    <x v="1"/>
    <n v="10000"/>
    <n v="0"/>
    <x v="1"/>
    <x v="1"/>
    <x v="3"/>
    <s v="Yes"/>
    <n v="1"/>
    <s v="Have Car"/>
    <x v="3"/>
    <x v="1"/>
    <n v="26"/>
    <x v="1"/>
  </r>
  <r>
    <n v="87"/>
    <s v="Single"/>
    <x v="1"/>
    <n v="130000"/>
    <n v="3"/>
    <x v="0"/>
    <x v="1"/>
    <x v="2"/>
    <s v="No"/>
    <n v="3"/>
    <s v="Have Car"/>
    <x v="0"/>
    <x v="0"/>
    <n v="51"/>
    <x v="1"/>
  </r>
  <r>
    <n v="88"/>
    <s v="Married"/>
    <x v="1"/>
    <n v="80000"/>
    <n v="5"/>
    <x v="0"/>
    <x v="0"/>
    <x v="2"/>
    <s v="Yes"/>
    <n v="4"/>
    <s v="Have Car"/>
    <x v="3"/>
    <x v="1"/>
    <n v="40"/>
    <x v="0"/>
  </r>
  <r>
    <n v="89"/>
    <s v="Single"/>
    <x v="1"/>
    <n v="30000"/>
    <n v="0"/>
    <x v="1"/>
    <x v="1"/>
    <x v="1"/>
    <s v="No"/>
    <n v="1"/>
    <s v="Have Car"/>
    <x v="1"/>
    <x v="0"/>
    <n v="29"/>
    <x v="0"/>
  </r>
  <r>
    <n v="90"/>
    <s v="Married"/>
    <x v="1"/>
    <n v="20000"/>
    <n v="1"/>
    <x v="0"/>
    <x v="2"/>
    <x v="3"/>
    <s v="No"/>
    <n v="1"/>
    <s v="Have Car"/>
    <x v="3"/>
    <x v="0"/>
    <n v="40"/>
    <x v="1"/>
  </r>
  <r>
    <n v="91"/>
    <s v="Single"/>
    <x v="0"/>
    <n v="30000"/>
    <n v="0"/>
    <x v="1"/>
    <x v="1"/>
    <x v="1"/>
    <s v="No"/>
    <n v="1"/>
    <s v="Have Car"/>
    <x v="0"/>
    <x v="0"/>
    <n v="29"/>
    <x v="1"/>
  </r>
  <r>
    <n v="92"/>
    <s v="Single"/>
    <x v="1"/>
    <n v="30000"/>
    <n v="0"/>
    <x v="1"/>
    <x v="1"/>
    <x v="1"/>
    <s v="No"/>
    <n v="1"/>
    <s v="Have Car"/>
    <x v="0"/>
    <x v="0"/>
    <n v="30"/>
    <x v="1"/>
  </r>
  <r>
    <n v="93"/>
    <s v="Single"/>
    <x v="0"/>
    <n v="60000"/>
    <n v="2"/>
    <x v="0"/>
    <x v="0"/>
    <x v="2"/>
    <s v="Yes"/>
    <n v="1"/>
    <s v="Have Car"/>
    <x v="1"/>
    <x v="1"/>
    <n v="37"/>
    <x v="1"/>
  </r>
  <r>
    <n v="94"/>
    <s v="Single"/>
    <x v="0"/>
    <n v="30000"/>
    <n v="0"/>
    <x v="1"/>
    <x v="1"/>
    <x v="1"/>
    <s v="No"/>
    <n v="1"/>
    <s v="Have Car"/>
    <x v="1"/>
    <x v="0"/>
    <n v="33"/>
    <x v="0"/>
  </r>
  <r>
    <n v="95"/>
    <s v="Single"/>
    <x v="0"/>
    <n v="30000"/>
    <n v="3"/>
    <x v="0"/>
    <x v="2"/>
    <x v="0"/>
    <s v="Yes"/>
    <n v="2"/>
    <s v="Have Car"/>
    <x v="2"/>
    <x v="1"/>
    <n v="55"/>
    <x v="0"/>
  </r>
  <r>
    <n v="96"/>
    <s v="Single"/>
    <x v="0"/>
    <n v="90000"/>
    <n v="5"/>
    <x v="0"/>
    <x v="1"/>
    <x v="2"/>
    <s v="Yes"/>
    <n v="2"/>
    <s v="Have Car"/>
    <x v="4"/>
    <x v="0"/>
    <n v="62"/>
    <x v="0"/>
  </r>
  <r>
    <n v="97"/>
    <s v="Married"/>
    <x v="1"/>
    <n v="30000"/>
    <n v="1"/>
    <x v="0"/>
    <x v="1"/>
    <x v="1"/>
    <s v="Yes"/>
    <n v="1"/>
    <s v="Have Car"/>
    <x v="0"/>
    <x v="0"/>
    <n v="43"/>
    <x v="0"/>
  </r>
  <r>
    <n v="98"/>
    <s v="Married"/>
    <x v="1"/>
    <n v="40000"/>
    <n v="1"/>
    <x v="0"/>
    <x v="0"/>
    <x v="0"/>
    <s v="Yes"/>
    <n v="1"/>
    <s v="Have Car"/>
    <x v="0"/>
    <x v="0"/>
    <n v="44"/>
    <x v="1"/>
  </r>
  <r>
    <n v="99"/>
    <s v="Married"/>
    <x v="1"/>
    <n v="40000"/>
    <n v="0"/>
    <x v="1"/>
    <x v="4"/>
    <x v="1"/>
    <s v="Yes"/>
    <n v="0"/>
    <s v="NoCar"/>
    <x v="0"/>
    <x v="0"/>
    <n v="25"/>
    <x v="1"/>
  </r>
  <r>
    <n v="100"/>
    <s v="Married"/>
    <x v="0"/>
    <n v="20000"/>
    <n v="3"/>
    <x v="0"/>
    <x v="2"/>
    <x v="3"/>
    <s v="Yes"/>
    <n v="2"/>
    <s v="Have Car"/>
    <x v="0"/>
    <x v="0"/>
    <n v="43"/>
    <x v="0"/>
  </r>
  <r>
    <n v="101"/>
    <s v="Single"/>
    <x v="1"/>
    <n v="10000"/>
    <n v="2"/>
    <x v="0"/>
    <x v="2"/>
    <x v="3"/>
    <s v="Yes"/>
    <n v="0"/>
    <s v="NoCar"/>
    <x v="0"/>
    <x v="0"/>
    <n v="35"/>
    <x v="0"/>
  </r>
  <r>
    <n v="102"/>
    <s v="Single"/>
    <x v="1"/>
    <n v="60000"/>
    <n v="3"/>
    <x v="0"/>
    <x v="0"/>
    <x v="2"/>
    <s v="No"/>
    <n v="2"/>
    <s v="Have Car"/>
    <x v="0"/>
    <x v="1"/>
    <n v="43"/>
    <x v="1"/>
  </r>
  <r>
    <n v="103"/>
    <s v="Married"/>
    <x v="1"/>
    <n v="10000"/>
    <n v="2"/>
    <x v="0"/>
    <x v="1"/>
    <x v="3"/>
    <s v="Yes"/>
    <n v="0"/>
    <s v="NoCar"/>
    <x v="3"/>
    <x v="0"/>
    <n v="49"/>
    <x v="0"/>
  </r>
  <r>
    <n v="104"/>
    <s v="Single"/>
    <x v="1"/>
    <n v="60000"/>
    <n v="1"/>
    <x v="0"/>
    <x v="1"/>
    <x v="0"/>
    <s v="Yes"/>
    <n v="1"/>
    <s v="Have Car"/>
    <x v="2"/>
    <x v="1"/>
    <n v="45"/>
    <x v="0"/>
  </r>
  <r>
    <n v="105"/>
    <s v="Single"/>
    <x v="0"/>
    <n v="70000"/>
    <n v="2"/>
    <x v="0"/>
    <x v="2"/>
    <x v="2"/>
    <s v="Yes"/>
    <n v="2"/>
    <s v="Have Car"/>
    <x v="2"/>
    <x v="1"/>
    <n v="49"/>
    <x v="1"/>
  </r>
  <r>
    <n v="106"/>
    <s v="Single"/>
    <x v="0"/>
    <n v="30000"/>
    <n v="0"/>
    <x v="1"/>
    <x v="1"/>
    <x v="1"/>
    <s v="No"/>
    <n v="1"/>
    <s v="Have Car"/>
    <x v="1"/>
    <x v="0"/>
    <n v="30"/>
    <x v="0"/>
  </r>
  <r>
    <n v="107"/>
    <s v="Married"/>
    <x v="1"/>
    <n v="70000"/>
    <n v="2"/>
    <x v="0"/>
    <x v="1"/>
    <x v="0"/>
    <s v="Yes"/>
    <n v="2"/>
    <s v="Have Car"/>
    <x v="2"/>
    <x v="1"/>
    <n v="52"/>
    <x v="1"/>
  </r>
  <r>
    <n v="108"/>
    <s v="Single"/>
    <x v="0"/>
    <n v="40000"/>
    <n v="2"/>
    <x v="0"/>
    <x v="1"/>
    <x v="0"/>
    <s v="No"/>
    <n v="2"/>
    <s v="Have Car"/>
    <x v="3"/>
    <x v="1"/>
    <n v="53"/>
    <x v="1"/>
  </r>
  <r>
    <n v="109"/>
    <s v="Married"/>
    <x v="0"/>
    <n v="40000"/>
    <n v="0"/>
    <x v="1"/>
    <x v="0"/>
    <x v="1"/>
    <s v="Yes"/>
    <n v="0"/>
    <s v="NoCar"/>
    <x v="0"/>
    <x v="0"/>
    <n v="38"/>
    <x v="1"/>
  </r>
  <r>
    <n v="110"/>
    <s v="Single"/>
    <x v="1"/>
    <n v="40000"/>
    <n v="0"/>
    <x v="1"/>
    <x v="0"/>
    <x v="2"/>
    <s v="No"/>
    <n v="0"/>
    <s v="NoCar"/>
    <x v="0"/>
    <x v="0"/>
    <n v="39"/>
    <x v="1"/>
  </r>
  <r>
    <n v="111"/>
    <s v="Single"/>
    <x v="0"/>
    <n v="30000"/>
    <n v="1"/>
    <x v="0"/>
    <x v="1"/>
    <x v="3"/>
    <s v="No"/>
    <n v="0"/>
    <s v="NoCar"/>
    <x v="0"/>
    <x v="0"/>
    <n v="46"/>
    <x v="1"/>
  </r>
  <r>
    <n v="112"/>
    <s v="Single"/>
    <x v="0"/>
    <n v="70000"/>
    <n v="0"/>
    <x v="1"/>
    <x v="0"/>
    <x v="2"/>
    <s v="No"/>
    <n v="1"/>
    <s v="Have Car"/>
    <x v="2"/>
    <x v="1"/>
    <n v="38"/>
    <x v="0"/>
  </r>
  <r>
    <n v="113"/>
    <s v="Single"/>
    <x v="0"/>
    <n v="40000"/>
    <n v="2"/>
    <x v="0"/>
    <x v="1"/>
    <x v="1"/>
    <s v="Yes"/>
    <n v="2"/>
    <s v="Have Car"/>
    <x v="3"/>
    <x v="0"/>
    <n v="35"/>
    <x v="0"/>
  </r>
  <r>
    <n v="114"/>
    <s v="Single"/>
    <x v="0"/>
    <n v="130000"/>
    <n v="1"/>
    <x v="0"/>
    <x v="4"/>
    <x v="4"/>
    <s v="No"/>
    <n v="1"/>
    <s v="Have Car"/>
    <x v="0"/>
    <x v="1"/>
    <n v="36"/>
    <x v="1"/>
  </r>
  <r>
    <n v="115"/>
    <s v="Married"/>
    <x v="1"/>
    <n v="20000"/>
    <n v="0"/>
    <x v="1"/>
    <x v="0"/>
    <x v="1"/>
    <s v="Yes"/>
    <n v="0"/>
    <s v="NoCar"/>
    <x v="0"/>
    <x v="1"/>
    <n v="26"/>
    <x v="1"/>
  </r>
  <r>
    <n v="116"/>
    <s v="Single"/>
    <x v="1"/>
    <n v="10000"/>
    <n v="0"/>
    <x v="1"/>
    <x v="4"/>
    <x v="3"/>
    <s v="No"/>
    <n v="0"/>
    <s v="NoCar"/>
    <x v="0"/>
    <x v="0"/>
    <n v="30"/>
    <x v="1"/>
  </r>
  <r>
    <n v="117"/>
    <s v="Married"/>
    <x v="0"/>
    <n v="30000"/>
    <n v="1"/>
    <x v="0"/>
    <x v="0"/>
    <x v="0"/>
    <s v="Yes"/>
    <n v="2"/>
    <s v="Have Car"/>
    <x v="0"/>
    <x v="0"/>
    <n v="42"/>
    <x v="0"/>
  </r>
  <r>
    <n v="118"/>
    <s v="Single"/>
    <x v="0"/>
    <n v="20000"/>
    <n v="0"/>
    <x v="1"/>
    <x v="2"/>
    <x v="3"/>
    <s v="Yes"/>
    <n v="0"/>
    <s v="NoCar"/>
    <x v="0"/>
    <x v="0"/>
    <n v="40"/>
    <x v="1"/>
  </r>
  <r>
    <n v="119"/>
    <s v="Married"/>
    <x v="1"/>
    <n v="80000"/>
    <n v="5"/>
    <x v="0"/>
    <x v="0"/>
    <x v="4"/>
    <s v="Yes"/>
    <n v="2"/>
    <s v="Have Car"/>
    <x v="1"/>
    <x v="0"/>
    <n v="62"/>
    <x v="0"/>
  </r>
  <r>
    <n v="120"/>
    <s v="Single"/>
    <x v="0"/>
    <n v="30000"/>
    <n v="0"/>
    <x v="1"/>
    <x v="1"/>
    <x v="1"/>
    <s v="No"/>
    <n v="1"/>
    <s v="Have Car"/>
    <x v="1"/>
    <x v="0"/>
    <n v="29"/>
    <x v="0"/>
  </r>
  <r>
    <n v="121"/>
    <s v="Married"/>
    <x v="0"/>
    <n v="40000"/>
    <n v="2"/>
    <x v="0"/>
    <x v="0"/>
    <x v="4"/>
    <s v="Yes"/>
    <n v="2"/>
    <s v="Have Car"/>
    <x v="2"/>
    <x v="1"/>
    <n v="66"/>
    <x v="1"/>
  </r>
  <r>
    <n v="122"/>
    <s v="Married"/>
    <x v="1"/>
    <n v="150000"/>
    <n v="2"/>
    <x v="0"/>
    <x v="2"/>
    <x v="2"/>
    <s v="Yes"/>
    <n v="4"/>
    <s v="Have Car"/>
    <x v="0"/>
    <x v="0"/>
    <n v="48"/>
    <x v="0"/>
  </r>
  <r>
    <n v="123"/>
    <s v="Single"/>
    <x v="0"/>
    <n v="80000"/>
    <n v="0"/>
    <x v="1"/>
    <x v="0"/>
    <x v="2"/>
    <s v="No"/>
    <n v="3"/>
    <s v="Have Car"/>
    <x v="4"/>
    <x v="1"/>
    <n v="31"/>
    <x v="0"/>
  </r>
  <r>
    <n v="124"/>
    <s v="Single"/>
    <x v="0"/>
    <n v="100000"/>
    <n v="3"/>
    <x v="0"/>
    <x v="1"/>
    <x v="4"/>
    <s v="No"/>
    <n v="4"/>
    <s v="Have Car"/>
    <x v="2"/>
    <x v="0"/>
    <n v="56"/>
    <x v="0"/>
  </r>
  <r>
    <n v="125"/>
    <s v="Single"/>
    <x v="0"/>
    <n v="40000"/>
    <n v="0"/>
    <x v="1"/>
    <x v="0"/>
    <x v="1"/>
    <s v="No"/>
    <n v="0"/>
    <s v="NoCar"/>
    <x v="0"/>
    <x v="0"/>
    <n v="38"/>
    <x v="1"/>
  </r>
  <r>
    <n v="126"/>
    <s v="Married"/>
    <x v="1"/>
    <n v="80000"/>
    <n v="5"/>
    <x v="0"/>
    <x v="0"/>
    <x v="2"/>
    <s v="Yes"/>
    <n v="4"/>
    <s v="Have Car"/>
    <x v="3"/>
    <x v="1"/>
    <n v="40"/>
    <x v="0"/>
  </r>
  <r>
    <n v="127"/>
    <s v="Single"/>
    <x v="1"/>
    <n v="30000"/>
    <n v="0"/>
    <x v="1"/>
    <x v="1"/>
    <x v="1"/>
    <s v="Yes"/>
    <n v="1"/>
    <s v="Have Car"/>
    <x v="1"/>
    <x v="0"/>
    <n v="32"/>
    <x v="0"/>
  </r>
  <r>
    <n v="128"/>
    <s v="Married"/>
    <x v="1"/>
    <n v="30000"/>
    <n v="1"/>
    <x v="0"/>
    <x v="0"/>
    <x v="1"/>
    <s v="Yes"/>
    <n v="1"/>
    <s v="Have Car"/>
    <x v="1"/>
    <x v="0"/>
    <n v="39"/>
    <x v="0"/>
  </r>
  <r>
    <n v="129"/>
    <s v="Single"/>
    <x v="1"/>
    <n v="10000"/>
    <n v="2"/>
    <x v="0"/>
    <x v="1"/>
    <x v="3"/>
    <s v="Yes"/>
    <n v="1"/>
    <s v="Have Car"/>
    <x v="0"/>
    <x v="0"/>
    <n v="52"/>
    <x v="1"/>
  </r>
  <r>
    <n v="130"/>
    <s v="Single"/>
    <x v="1"/>
    <n v="10000"/>
    <n v="3"/>
    <x v="0"/>
    <x v="2"/>
    <x v="3"/>
    <s v="Yes"/>
    <n v="1"/>
    <s v="Have Car"/>
    <x v="0"/>
    <x v="0"/>
    <n v="39"/>
    <x v="1"/>
  </r>
  <r>
    <n v="131"/>
    <s v="Married"/>
    <x v="1"/>
    <n v="60000"/>
    <n v="2"/>
    <x v="0"/>
    <x v="0"/>
    <x v="2"/>
    <s v="Yes"/>
    <n v="1"/>
    <s v="Have Car"/>
    <x v="1"/>
    <x v="1"/>
    <n v="37"/>
    <x v="0"/>
  </r>
  <r>
    <n v="132"/>
    <s v="Married"/>
    <x v="1"/>
    <n v="90000"/>
    <n v="4"/>
    <x v="0"/>
    <x v="2"/>
    <x v="4"/>
    <s v="Yes"/>
    <n v="3"/>
    <s v="Have Car"/>
    <x v="2"/>
    <x v="0"/>
    <n v="56"/>
    <x v="1"/>
  </r>
  <r>
    <n v="133"/>
    <s v="Married"/>
    <x v="1"/>
    <n v="40000"/>
    <n v="0"/>
    <x v="1"/>
    <x v="0"/>
    <x v="2"/>
    <s v="Yes"/>
    <n v="0"/>
    <s v="NoCar"/>
    <x v="0"/>
    <x v="0"/>
    <n v="40"/>
    <x v="1"/>
  </r>
  <r>
    <n v="134"/>
    <s v="Single"/>
    <x v="1"/>
    <n v="40000"/>
    <n v="2"/>
    <x v="0"/>
    <x v="0"/>
    <x v="4"/>
    <s v="Yes"/>
    <n v="2"/>
    <s v="Have Car"/>
    <x v="2"/>
    <x v="1"/>
    <n v="65"/>
    <x v="1"/>
  </r>
  <r>
    <n v="135"/>
    <s v="Single"/>
    <x v="0"/>
    <n v="30000"/>
    <n v="2"/>
    <x v="0"/>
    <x v="1"/>
    <x v="1"/>
    <s v="Yes"/>
    <n v="2"/>
    <s v="Have Car"/>
    <x v="0"/>
    <x v="0"/>
    <n v="42"/>
    <x v="0"/>
  </r>
  <r>
    <n v="136"/>
    <s v="Married"/>
    <x v="1"/>
    <n v="10000"/>
    <n v="2"/>
    <x v="0"/>
    <x v="1"/>
    <x v="3"/>
    <s v="Yes"/>
    <n v="1"/>
    <s v="Have Car"/>
    <x v="1"/>
    <x v="0"/>
    <n v="52"/>
    <x v="0"/>
  </r>
  <r>
    <n v="137"/>
    <s v="Single"/>
    <x v="0"/>
    <n v="10000"/>
    <n v="1"/>
    <x v="0"/>
    <x v="2"/>
    <x v="3"/>
    <s v="No"/>
    <n v="1"/>
    <s v="Have Car"/>
    <x v="2"/>
    <x v="0"/>
    <n v="35"/>
    <x v="1"/>
  </r>
  <r>
    <n v="138"/>
    <s v="Single"/>
    <x v="1"/>
    <n v="20000"/>
    <n v="2"/>
    <x v="0"/>
    <x v="2"/>
    <x v="3"/>
    <s v="Yes"/>
    <n v="2"/>
    <s v="Have Car"/>
    <x v="0"/>
    <x v="0"/>
    <n v="42"/>
    <x v="0"/>
  </r>
  <r>
    <n v="139"/>
    <s v="Married"/>
    <x v="0"/>
    <n v="20000"/>
    <n v="2"/>
    <x v="0"/>
    <x v="3"/>
    <x v="1"/>
    <s v="Yes"/>
    <n v="2"/>
    <s v="Have Car"/>
    <x v="2"/>
    <x v="1"/>
    <n v="55"/>
    <x v="1"/>
  </r>
  <r>
    <n v="140"/>
    <s v="Single"/>
    <x v="0"/>
    <n v="30000"/>
    <n v="2"/>
    <x v="0"/>
    <x v="1"/>
    <x v="1"/>
    <s v="No"/>
    <n v="2"/>
    <s v="Have Car"/>
    <x v="2"/>
    <x v="1"/>
    <n v="60"/>
    <x v="1"/>
  </r>
  <r>
    <n v="141"/>
    <s v="Single"/>
    <x v="1"/>
    <n v="40000"/>
    <n v="0"/>
    <x v="1"/>
    <x v="0"/>
    <x v="2"/>
    <s v="No"/>
    <n v="0"/>
    <s v="NoCar"/>
    <x v="0"/>
    <x v="0"/>
    <n v="40"/>
    <x v="1"/>
  </r>
  <r>
    <n v="142"/>
    <s v="Single"/>
    <x v="0"/>
    <n v="10000"/>
    <n v="0"/>
    <x v="1"/>
    <x v="1"/>
    <x v="3"/>
    <s v="No"/>
    <n v="1"/>
    <s v="Have Car"/>
    <x v="0"/>
    <x v="1"/>
    <n v="26"/>
    <x v="1"/>
  </r>
  <r>
    <n v="143"/>
    <s v="Married"/>
    <x v="1"/>
    <n v="40000"/>
    <n v="1"/>
    <x v="0"/>
    <x v="0"/>
    <x v="0"/>
    <s v="Yes"/>
    <n v="0"/>
    <s v="NoCar"/>
    <x v="0"/>
    <x v="0"/>
    <n v="42"/>
    <x v="1"/>
  </r>
  <r>
    <n v="144"/>
    <s v="Married"/>
    <x v="0"/>
    <n v="80000"/>
    <n v="0"/>
    <x v="1"/>
    <x v="0"/>
    <x v="2"/>
    <s v="Yes"/>
    <n v="3"/>
    <s v="Have Car"/>
    <x v="4"/>
    <x v="1"/>
    <n v="32"/>
    <x v="0"/>
  </r>
  <r>
    <n v="145"/>
    <s v="Single"/>
    <x v="1"/>
    <n v="30000"/>
    <n v="1"/>
    <x v="0"/>
    <x v="0"/>
    <x v="1"/>
    <s v="Yes"/>
    <n v="0"/>
    <s v="NoCar"/>
    <x v="3"/>
    <x v="0"/>
    <n v="37"/>
    <x v="1"/>
  </r>
  <r>
    <n v="146"/>
    <s v="Married"/>
    <x v="0"/>
    <n v="40000"/>
    <n v="2"/>
    <x v="0"/>
    <x v="1"/>
    <x v="1"/>
    <s v="No"/>
    <n v="1"/>
    <s v="Have Car"/>
    <x v="0"/>
    <x v="0"/>
    <n v="34"/>
    <x v="0"/>
  </r>
  <r>
    <n v="147"/>
    <s v="Married"/>
    <x v="1"/>
    <n v="40000"/>
    <n v="0"/>
    <x v="1"/>
    <x v="4"/>
    <x v="1"/>
    <s v="Yes"/>
    <n v="0"/>
    <s v="NoCar"/>
    <x v="0"/>
    <x v="0"/>
    <n v="37"/>
    <x v="1"/>
  </r>
  <r>
    <n v="148"/>
    <s v="Married"/>
    <x v="0"/>
    <n v="40000"/>
    <n v="0"/>
    <x v="1"/>
    <x v="0"/>
    <x v="2"/>
    <s v="No"/>
    <n v="0"/>
    <s v="NoCar"/>
    <x v="0"/>
    <x v="0"/>
    <n v="40"/>
    <x v="1"/>
  </r>
  <r>
    <n v="149"/>
    <s v="Married"/>
    <x v="1"/>
    <n v="20000"/>
    <n v="4"/>
    <x v="0"/>
    <x v="2"/>
    <x v="0"/>
    <s v="Yes"/>
    <n v="2"/>
    <s v="Have Car"/>
    <x v="2"/>
    <x v="1"/>
    <n v="60"/>
    <x v="0"/>
  </r>
  <r>
    <n v="150"/>
    <s v="Single"/>
    <x v="1"/>
    <n v="30000"/>
    <n v="0"/>
    <x v="1"/>
    <x v="1"/>
    <x v="1"/>
    <s v="No"/>
    <n v="1"/>
    <s v="Have Car"/>
    <x v="3"/>
    <x v="0"/>
    <n v="27"/>
    <x v="0"/>
  </r>
  <r>
    <n v="151"/>
    <s v="Married"/>
    <x v="1"/>
    <n v="60000"/>
    <n v="1"/>
    <x v="0"/>
    <x v="1"/>
    <x v="0"/>
    <s v="Yes"/>
    <n v="1"/>
    <s v="Have Car"/>
    <x v="2"/>
    <x v="1"/>
    <n v="43"/>
    <x v="1"/>
  </r>
  <r>
    <n v="152"/>
    <s v="Single"/>
    <x v="1"/>
    <n v="100000"/>
    <n v="1"/>
    <x v="0"/>
    <x v="0"/>
    <x v="4"/>
    <s v="No"/>
    <n v="3"/>
    <s v="Have Car"/>
    <x v="0"/>
    <x v="1"/>
    <n v="48"/>
    <x v="0"/>
  </r>
  <r>
    <n v="153"/>
    <s v="Single"/>
    <x v="0"/>
    <n v="20000"/>
    <n v="0"/>
    <x v="1"/>
    <x v="3"/>
    <x v="3"/>
    <s v="No"/>
    <n v="2"/>
    <s v="Have Car"/>
    <x v="3"/>
    <x v="0"/>
    <n v="32"/>
    <x v="0"/>
  </r>
  <r>
    <n v="154"/>
    <s v="Married"/>
    <x v="1"/>
    <n v="100000"/>
    <n v="1"/>
    <x v="0"/>
    <x v="0"/>
    <x v="4"/>
    <s v="Yes"/>
    <n v="3"/>
    <s v="Have Car"/>
    <x v="1"/>
    <x v="1"/>
    <n v="47"/>
    <x v="0"/>
  </r>
  <r>
    <n v="155"/>
    <s v="Single"/>
    <x v="1"/>
    <n v="80000"/>
    <n v="5"/>
    <x v="0"/>
    <x v="4"/>
    <x v="4"/>
    <s v="Yes"/>
    <n v="3"/>
    <s v="Have Car"/>
    <x v="0"/>
    <x v="1"/>
    <n v="40"/>
    <x v="0"/>
  </r>
  <r>
    <n v="156"/>
    <s v="Single"/>
    <x v="0"/>
    <n v="10000"/>
    <n v="4"/>
    <x v="0"/>
    <x v="3"/>
    <x v="3"/>
    <s v="Yes"/>
    <n v="2"/>
    <s v="Have Car"/>
    <x v="0"/>
    <x v="0"/>
    <n v="41"/>
    <x v="1"/>
  </r>
  <r>
    <n v="157"/>
    <s v="Married"/>
    <x v="0"/>
    <n v="130000"/>
    <n v="5"/>
    <x v="0"/>
    <x v="1"/>
    <x v="2"/>
    <s v="Yes"/>
    <n v="4"/>
    <s v="Have Car"/>
    <x v="0"/>
    <x v="0"/>
    <n v="59"/>
    <x v="0"/>
  </r>
  <r>
    <n v="158"/>
    <s v="Single"/>
    <x v="1"/>
    <n v="10000"/>
    <n v="2"/>
    <x v="0"/>
    <x v="1"/>
    <x v="3"/>
    <s v="No"/>
    <n v="0"/>
    <s v="NoCar"/>
    <x v="0"/>
    <x v="0"/>
    <n v="50"/>
    <x v="0"/>
  </r>
  <r>
    <n v="159"/>
    <s v="Single"/>
    <x v="0"/>
    <n v="20000"/>
    <n v="2"/>
    <x v="0"/>
    <x v="1"/>
    <x v="3"/>
    <s v="No"/>
    <n v="1"/>
    <s v="Have Car"/>
    <x v="0"/>
    <x v="0"/>
    <n v="54"/>
    <x v="1"/>
  </r>
  <r>
    <n v="160"/>
    <s v="Married"/>
    <x v="0"/>
    <n v="10000"/>
    <n v="1"/>
    <x v="0"/>
    <x v="0"/>
    <x v="3"/>
    <s v="Yes"/>
    <n v="0"/>
    <s v="NoCar"/>
    <x v="0"/>
    <x v="0"/>
    <n v="48"/>
    <x v="0"/>
  </r>
  <r>
    <n v="161"/>
    <s v="Single"/>
    <x v="0"/>
    <n v="60000"/>
    <n v="1"/>
    <x v="0"/>
    <x v="0"/>
    <x v="2"/>
    <s v="Yes"/>
    <n v="1"/>
    <s v="Have Car"/>
    <x v="2"/>
    <x v="1"/>
    <n v="44"/>
    <x v="1"/>
  </r>
  <r>
    <n v="162"/>
    <s v="Married"/>
    <x v="0"/>
    <n v="20000"/>
    <n v="2"/>
    <x v="0"/>
    <x v="2"/>
    <x v="3"/>
    <s v="Yes"/>
    <n v="0"/>
    <s v="NoCar"/>
    <x v="0"/>
    <x v="0"/>
    <n v="40"/>
    <x v="1"/>
  </r>
  <r>
    <n v="163"/>
    <s v="Single"/>
    <x v="0"/>
    <n v="60000"/>
    <n v="2"/>
    <x v="0"/>
    <x v="0"/>
    <x v="2"/>
    <s v="No"/>
    <n v="1"/>
    <s v="Have Car"/>
    <x v="0"/>
    <x v="1"/>
    <n v="38"/>
    <x v="1"/>
  </r>
  <r>
    <n v="164"/>
    <s v="Single"/>
    <x v="1"/>
    <n v="40000"/>
    <n v="2"/>
    <x v="0"/>
    <x v="1"/>
    <x v="0"/>
    <s v="No"/>
    <n v="2"/>
    <s v="Have Car"/>
    <x v="3"/>
    <x v="1"/>
    <n v="52"/>
    <x v="0"/>
  </r>
  <r>
    <n v="165"/>
    <s v="Married"/>
    <x v="1"/>
    <n v="10000"/>
    <n v="0"/>
    <x v="1"/>
    <x v="1"/>
    <x v="3"/>
    <s v="Yes"/>
    <n v="1"/>
    <s v="Have Car"/>
    <x v="1"/>
    <x v="1"/>
    <n v="25"/>
    <x v="1"/>
  </r>
  <r>
    <n v="166"/>
    <s v="Married"/>
    <x v="0"/>
    <n v="10000"/>
    <n v="0"/>
    <x v="1"/>
    <x v="1"/>
    <x v="3"/>
    <s v="No"/>
    <n v="1"/>
    <s v="Have Car"/>
    <x v="0"/>
    <x v="1"/>
    <n v="25"/>
    <x v="0"/>
  </r>
  <r>
    <n v="167"/>
    <s v="Single"/>
    <x v="1"/>
    <n v="90000"/>
    <n v="1"/>
    <x v="0"/>
    <x v="0"/>
    <x v="2"/>
    <s v="Yes"/>
    <n v="1"/>
    <s v="Have Car"/>
    <x v="1"/>
    <x v="1"/>
    <n v="47"/>
    <x v="1"/>
  </r>
  <r>
    <n v="168"/>
    <s v="Single"/>
    <x v="1"/>
    <n v="100000"/>
    <n v="0"/>
    <x v="1"/>
    <x v="2"/>
    <x v="4"/>
    <s v="Yes"/>
    <n v="3"/>
    <s v="Have Car"/>
    <x v="4"/>
    <x v="1"/>
    <n v="35"/>
    <x v="0"/>
  </r>
  <r>
    <n v="169"/>
    <s v="Single"/>
    <x v="1"/>
    <n v="70000"/>
    <n v="0"/>
    <x v="1"/>
    <x v="0"/>
    <x v="2"/>
    <s v="No"/>
    <n v="1"/>
    <s v="Have Car"/>
    <x v="2"/>
    <x v="1"/>
    <n v="41"/>
    <x v="1"/>
  </r>
  <r>
    <n v="170"/>
    <s v="Married"/>
    <x v="1"/>
    <n v="30000"/>
    <n v="1"/>
    <x v="0"/>
    <x v="0"/>
    <x v="1"/>
    <s v="Yes"/>
    <n v="0"/>
    <s v="NoCar"/>
    <x v="0"/>
    <x v="0"/>
    <n v="47"/>
    <x v="0"/>
  </r>
  <r>
    <n v="171"/>
    <s v="Married"/>
    <x v="0"/>
    <n v="130000"/>
    <n v="4"/>
    <x v="0"/>
    <x v="1"/>
    <x v="2"/>
    <s v="Yes"/>
    <n v="4"/>
    <s v="Have Car"/>
    <x v="2"/>
    <x v="0"/>
    <n v="61"/>
    <x v="1"/>
  </r>
  <r>
    <n v="172"/>
    <s v="Married"/>
    <x v="0"/>
    <n v="80000"/>
    <n v="5"/>
    <x v="0"/>
    <x v="0"/>
    <x v="4"/>
    <s v="Yes"/>
    <n v="2"/>
    <s v="Have Car"/>
    <x v="1"/>
    <x v="0"/>
    <n v="61"/>
    <x v="0"/>
  </r>
  <r>
    <n v="173"/>
    <s v="Married"/>
    <x v="1"/>
    <n v="10000"/>
    <n v="0"/>
    <x v="1"/>
    <x v="3"/>
    <x v="3"/>
    <s v="No"/>
    <n v="2"/>
    <s v="Have Car"/>
    <x v="0"/>
    <x v="0"/>
    <n v="33"/>
    <x v="0"/>
  </r>
  <r>
    <n v="174"/>
    <s v="Married"/>
    <x v="0"/>
    <n v="10000"/>
    <n v="0"/>
    <x v="1"/>
    <x v="1"/>
    <x v="3"/>
    <s v="Yes"/>
    <n v="1"/>
    <s v="Have Car"/>
    <x v="1"/>
    <x v="1"/>
    <n v="27"/>
    <x v="0"/>
  </r>
  <r>
    <n v="175"/>
    <s v="Single"/>
    <x v="1"/>
    <n v="50000"/>
    <n v="0"/>
    <x v="1"/>
    <x v="4"/>
    <x v="0"/>
    <s v="Yes"/>
    <n v="0"/>
    <s v="NoCar"/>
    <x v="0"/>
    <x v="0"/>
    <n v="37"/>
    <x v="1"/>
  </r>
  <r>
    <n v="176"/>
    <s v="Single"/>
    <x v="0"/>
    <n v="80000"/>
    <n v="2"/>
    <x v="0"/>
    <x v="1"/>
    <x v="0"/>
    <s v="Yes"/>
    <n v="2"/>
    <s v="Have Car"/>
    <x v="2"/>
    <x v="1"/>
    <n v="52"/>
    <x v="1"/>
  </r>
  <r>
    <n v="177"/>
    <s v="Single"/>
    <x v="0"/>
    <n v="20000"/>
    <n v="0"/>
    <x v="1"/>
    <x v="1"/>
    <x v="3"/>
    <s v="Yes"/>
    <n v="0"/>
    <s v="NoCar"/>
    <x v="0"/>
    <x v="1"/>
    <n v="29"/>
    <x v="1"/>
  </r>
  <r>
    <n v="178"/>
    <s v="Single"/>
    <x v="0"/>
    <n v="110000"/>
    <n v="2"/>
    <x v="0"/>
    <x v="1"/>
    <x v="2"/>
    <s v="No"/>
    <n v="3"/>
    <s v="Have Car"/>
    <x v="2"/>
    <x v="0"/>
    <n v="48"/>
    <x v="0"/>
  </r>
  <r>
    <n v="179"/>
    <s v="Married"/>
    <x v="1"/>
    <n v="160000"/>
    <n v="4"/>
    <x v="0"/>
    <x v="1"/>
    <x v="2"/>
    <s v="No"/>
    <n v="2"/>
    <s v="Have Car"/>
    <x v="4"/>
    <x v="0"/>
    <n v="55"/>
    <x v="1"/>
  </r>
  <r>
    <n v="180"/>
    <s v="Married"/>
    <x v="0"/>
    <n v="10000"/>
    <n v="0"/>
    <x v="1"/>
    <x v="4"/>
    <x v="3"/>
    <s v="Yes"/>
    <n v="0"/>
    <s v="NoCar"/>
    <x v="0"/>
    <x v="0"/>
    <n v="37"/>
    <x v="1"/>
  </r>
  <r>
    <n v="181"/>
    <s v="Single"/>
    <x v="1"/>
    <n v="10000"/>
    <n v="1"/>
    <x v="0"/>
    <x v="4"/>
    <x v="3"/>
    <s v="Yes"/>
    <n v="0"/>
    <s v="NoCar"/>
    <x v="0"/>
    <x v="0"/>
    <n v="44"/>
    <x v="0"/>
  </r>
  <r>
    <n v="182"/>
    <s v="Married"/>
    <x v="0"/>
    <n v="30000"/>
    <n v="3"/>
    <x v="0"/>
    <x v="1"/>
    <x v="1"/>
    <s v="No"/>
    <n v="2"/>
    <s v="Have Car"/>
    <x v="3"/>
    <x v="1"/>
    <n v="55"/>
    <x v="1"/>
  </r>
  <r>
    <n v="183"/>
    <s v="Married"/>
    <x v="0"/>
    <n v="10000"/>
    <n v="2"/>
    <x v="0"/>
    <x v="2"/>
    <x v="3"/>
    <s v="No"/>
    <n v="1"/>
    <s v="Have Car"/>
    <x v="0"/>
    <x v="0"/>
    <n v="38"/>
    <x v="0"/>
  </r>
  <r>
    <n v="184"/>
    <s v="Single"/>
    <x v="1"/>
    <n v="40000"/>
    <n v="2"/>
    <x v="0"/>
    <x v="0"/>
    <x v="4"/>
    <s v="Yes"/>
    <n v="2"/>
    <s v="Have Car"/>
    <x v="2"/>
    <x v="1"/>
    <n v="66"/>
    <x v="1"/>
  </r>
  <r>
    <n v="185"/>
    <s v="Married"/>
    <x v="0"/>
    <n v="130000"/>
    <n v="4"/>
    <x v="0"/>
    <x v="2"/>
    <x v="4"/>
    <s v="No"/>
    <n v="4"/>
    <s v="Have Car"/>
    <x v="4"/>
    <x v="0"/>
    <n v="58"/>
    <x v="0"/>
  </r>
  <r>
    <n v="186"/>
    <s v="Married"/>
    <x v="0"/>
    <n v="90000"/>
    <n v="1"/>
    <x v="0"/>
    <x v="0"/>
    <x v="2"/>
    <s v="Yes"/>
    <n v="1"/>
    <s v="Have Car"/>
    <x v="1"/>
    <x v="1"/>
    <n v="47"/>
    <x v="1"/>
  </r>
  <r>
    <n v="187"/>
    <s v="Married"/>
    <x v="0"/>
    <n v="30000"/>
    <n v="3"/>
    <x v="0"/>
    <x v="2"/>
    <x v="0"/>
    <s v="No"/>
    <n v="2"/>
    <s v="Have Car"/>
    <x v="3"/>
    <x v="1"/>
    <n v="56"/>
    <x v="1"/>
  </r>
  <r>
    <n v="188"/>
    <s v="Single"/>
    <x v="1"/>
    <n v="80000"/>
    <n v="5"/>
    <x v="0"/>
    <x v="1"/>
    <x v="2"/>
    <s v="No"/>
    <n v="2"/>
    <s v="Have Car"/>
    <x v="4"/>
    <x v="0"/>
    <n v="59"/>
    <x v="0"/>
  </r>
  <r>
    <n v="189"/>
    <s v="Married"/>
    <x v="0"/>
    <n v="70000"/>
    <n v="0"/>
    <x v="1"/>
    <x v="0"/>
    <x v="2"/>
    <s v="Yes"/>
    <n v="4"/>
    <s v="Have Car"/>
    <x v="4"/>
    <x v="1"/>
    <n v="32"/>
    <x v="1"/>
  </r>
  <r>
    <n v="190"/>
    <s v="Married"/>
    <x v="1"/>
    <n v="30000"/>
    <n v="1"/>
    <x v="0"/>
    <x v="1"/>
    <x v="1"/>
    <s v="Yes"/>
    <n v="1"/>
    <s v="Have Car"/>
    <x v="0"/>
    <x v="0"/>
    <n v="44"/>
    <x v="1"/>
  </r>
  <r>
    <n v="191"/>
    <s v="Married"/>
    <x v="1"/>
    <n v="30000"/>
    <n v="3"/>
    <x v="0"/>
    <x v="2"/>
    <x v="0"/>
    <s v="Yes"/>
    <n v="2"/>
    <s v="Have Car"/>
    <x v="2"/>
    <x v="1"/>
    <n v="55"/>
    <x v="0"/>
  </r>
  <r>
    <n v="192"/>
    <s v="Single"/>
    <x v="1"/>
    <n v="90000"/>
    <n v="2"/>
    <x v="0"/>
    <x v="2"/>
    <x v="3"/>
    <s v="Yes"/>
    <n v="0"/>
    <s v="NoCar"/>
    <x v="0"/>
    <x v="0"/>
    <n v="36"/>
    <x v="1"/>
  </r>
  <r>
    <n v="193"/>
    <s v="Single"/>
    <x v="0"/>
    <n v="80000"/>
    <n v="5"/>
    <x v="0"/>
    <x v="0"/>
    <x v="4"/>
    <s v="Yes"/>
    <n v="2"/>
    <s v="Have Car"/>
    <x v="4"/>
    <x v="0"/>
    <n v="62"/>
    <x v="0"/>
  </r>
  <r>
    <n v="194"/>
    <s v="Married"/>
    <x v="0"/>
    <n v="70000"/>
    <n v="5"/>
    <x v="0"/>
    <x v="0"/>
    <x v="2"/>
    <s v="Yes"/>
    <n v="4"/>
    <s v="Have Car"/>
    <x v="4"/>
    <x v="1"/>
    <n v="41"/>
    <x v="0"/>
  </r>
  <r>
    <n v="195"/>
    <s v="Single"/>
    <x v="0"/>
    <n v="10000"/>
    <n v="0"/>
    <x v="1"/>
    <x v="3"/>
    <x v="3"/>
    <s v="No"/>
    <n v="2"/>
    <s v="Have Car"/>
    <x v="0"/>
    <x v="0"/>
    <n v="32"/>
    <x v="0"/>
  </r>
  <r>
    <n v="196"/>
    <s v="Single"/>
    <x v="1"/>
    <n v="20000"/>
    <n v="0"/>
    <x v="1"/>
    <x v="0"/>
    <x v="1"/>
    <s v="Yes"/>
    <n v="0"/>
    <s v="NoCar"/>
    <x v="0"/>
    <x v="1"/>
    <n v="25"/>
    <x v="1"/>
  </r>
  <r>
    <n v="197"/>
    <s v="Single"/>
    <x v="0"/>
    <n v="50000"/>
    <n v="0"/>
    <x v="1"/>
    <x v="4"/>
    <x v="0"/>
    <s v="Yes"/>
    <n v="0"/>
    <s v="NoCar"/>
    <x v="3"/>
    <x v="0"/>
    <n v="36"/>
    <x v="0"/>
  </r>
  <r>
    <n v="198"/>
    <s v="Married"/>
    <x v="1"/>
    <n v="60000"/>
    <n v="2"/>
    <x v="0"/>
    <x v="4"/>
    <x v="4"/>
    <s v="Yes"/>
    <n v="1"/>
    <s v="Have Car"/>
    <x v="0"/>
    <x v="1"/>
    <n v="67"/>
    <x v="1"/>
  </r>
  <r>
    <n v="199"/>
    <s v="Single"/>
    <x v="0"/>
    <n v="100000"/>
    <n v="0"/>
    <x v="1"/>
    <x v="4"/>
    <x v="4"/>
    <s v="No"/>
    <n v="1"/>
    <s v="Have Car"/>
    <x v="3"/>
    <x v="1"/>
    <n v="39"/>
    <x v="1"/>
  </r>
  <r>
    <n v="200"/>
    <s v="Single"/>
    <x v="1"/>
    <n v="80000"/>
    <n v="0"/>
    <x v="1"/>
    <x v="0"/>
    <x v="2"/>
    <s v="No"/>
    <n v="3"/>
    <s v="Have Car"/>
    <x v="4"/>
    <x v="1"/>
    <n v="33"/>
    <x v="1"/>
  </r>
  <r>
    <n v="201"/>
    <s v="Single"/>
    <x v="1"/>
    <n v="60000"/>
    <n v="0"/>
    <x v="1"/>
    <x v="0"/>
    <x v="2"/>
    <s v="No"/>
    <n v="3"/>
    <s v="Have Car"/>
    <x v="1"/>
    <x v="1"/>
    <n v="31"/>
    <x v="0"/>
  </r>
  <r>
    <n v="202"/>
    <s v="Married"/>
    <x v="1"/>
    <n v="10000"/>
    <n v="1"/>
    <x v="0"/>
    <x v="2"/>
    <x v="3"/>
    <s v="Yes"/>
    <n v="0"/>
    <s v="NoCar"/>
    <x v="1"/>
    <x v="1"/>
    <n v="27"/>
    <x v="1"/>
  </r>
  <r>
    <n v="203"/>
    <s v="Single"/>
    <x v="1"/>
    <n v="40000"/>
    <n v="2"/>
    <x v="0"/>
    <x v="1"/>
    <x v="1"/>
    <s v="Yes"/>
    <n v="0"/>
    <s v="NoCar"/>
    <x v="3"/>
    <x v="0"/>
    <n v="33"/>
    <x v="1"/>
  </r>
  <r>
    <n v="204"/>
    <s v="Single"/>
    <x v="0"/>
    <n v="60000"/>
    <n v="1"/>
    <x v="0"/>
    <x v="1"/>
    <x v="0"/>
    <s v="Yes"/>
    <n v="1"/>
    <s v="Have Car"/>
    <x v="2"/>
    <x v="1"/>
    <n v="46"/>
    <x v="1"/>
  </r>
  <r>
    <n v="205"/>
    <s v="Single"/>
    <x v="0"/>
    <n v="90000"/>
    <n v="3"/>
    <x v="0"/>
    <x v="2"/>
    <x v="2"/>
    <s v="No"/>
    <n v="1"/>
    <s v="Have Car"/>
    <x v="1"/>
    <x v="0"/>
    <n v="51"/>
    <x v="0"/>
  </r>
  <r>
    <n v="206"/>
    <s v="Married"/>
    <x v="1"/>
    <n v="30000"/>
    <n v="3"/>
    <x v="0"/>
    <x v="4"/>
    <x v="1"/>
    <s v="Yes"/>
    <n v="0"/>
    <s v="NoCar"/>
    <x v="0"/>
    <x v="0"/>
    <n v="46"/>
    <x v="1"/>
  </r>
  <r>
    <n v="207"/>
    <s v="Single"/>
    <x v="1"/>
    <n v="90000"/>
    <n v="5"/>
    <x v="0"/>
    <x v="1"/>
    <x v="2"/>
    <s v="No"/>
    <n v="2"/>
    <s v="Have Car"/>
    <x v="4"/>
    <x v="0"/>
    <n v="62"/>
    <x v="0"/>
  </r>
  <r>
    <n v="208"/>
    <s v="Single"/>
    <x v="0"/>
    <n v="20000"/>
    <n v="0"/>
    <x v="1"/>
    <x v="3"/>
    <x v="3"/>
    <s v="Yes"/>
    <n v="2"/>
    <s v="Have Car"/>
    <x v="3"/>
    <x v="0"/>
    <n v="26"/>
    <x v="1"/>
  </r>
  <r>
    <n v="209"/>
    <s v="Single"/>
    <x v="0"/>
    <n v="40000"/>
    <n v="0"/>
    <x v="1"/>
    <x v="4"/>
    <x v="1"/>
    <s v="Yes"/>
    <n v="0"/>
    <s v="NoCar"/>
    <x v="0"/>
    <x v="0"/>
    <n v="37"/>
    <x v="1"/>
  </r>
  <r>
    <n v="210"/>
    <s v="Single"/>
    <x v="0"/>
    <n v="30000"/>
    <n v="3"/>
    <x v="0"/>
    <x v="1"/>
    <x v="1"/>
    <s v="Yes"/>
    <n v="0"/>
    <s v="NoCar"/>
    <x v="0"/>
    <x v="0"/>
    <n v="42"/>
    <x v="1"/>
  </r>
  <r>
    <n v="211"/>
    <s v="Married"/>
    <x v="0"/>
    <n v="80000"/>
    <n v="4"/>
    <x v="0"/>
    <x v="4"/>
    <x v="4"/>
    <s v="Yes"/>
    <n v="1"/>
    <s v="Have Car"/>
    <x v="0"/>
    <x v="1"/>
    <n v="36"/>
    <x v="0"/>
  </r>
  <r>
    <n v="212"/>
    <s v="Married"/>
    <x v="0"/>
    <n v="50000"/>
    <n v="0"/>
    <x v="1"/>
    <x v="4"/>
    <x v="0"/>
    <s v="Yes"/>
    <n v="0"/>
    <s v="NoCar"/>
    <x v="0"/>
    <x v="0"/>
    <n v="36"/>
    <x v="1"/>
  </r>
  <r>
    <n v="213"/>
    <s v="Single"/>
    <x v="0"/>
    <n v="30000"/>
    <n v="0"/>
    <x v="1"/>
    <x v="1"/>
    <x v="1"/>
    <s v="No"/>
    <n v="1"/>
    <s v="Have Car"/>
    <x v="1"/>
    <x v="0"/>
    <n v="30"/>
    <x v="0"/>
  </r>
  <r>
    <n v="214"/>
    <s v="Single"/>
    <x v="1"/>
    <n v="70000"/>
    <n v="0"/>
    <x v="1"/>
    <x v="0"/>
    <x v="2"/>
    <s v="No"/>
    <n v="4"/>
    <s v="Have Car"/>
    <x v="4"/>
    <x v="1"/>
    <n v="31"/>
    <x v="1"/>
  </r>
  <r>
    <n v="215"/>
    <s v="Married"/>
    <x v="1"/>
    <n v="30000"/>
    <n v="1"/>
    <x v="0"/>
    <x v="0"/>
    <x v="1"/>
    <s v="Yes"/>
    <n v="0"/>
    <s v="NoCar"/>
    <x v="0"/>
    <x v="0"/>
    <n v="65"/>
    <x v="1"/>
  </r>
  <r>
    <n v="216"/>
    <s v="Single"/>
    <x v="1"/>
    <n v="80000"/>
    <n v="4"/>
    <x v="0"/>
    <x v="1"/>
    <x v="2"/>
    <s v="No"/>
    <n v="2"/>
    <s v="Have Car"/>
    <x v="1"/>
    <x v="0"/>
    <n v="54"/>
    <x v="1"/>
  </r>
  <r>
    <n v="217"/>
    <s v="Married"/>
    <x v="1"/>
    <n v="20000"/>
    <n v="2"/>
    <x v="0"/>
    <x v="3"/>
    <x v="1"/>
    <s v="Yes"/>
    <n v="3"/>
    <s v="Have Car"/>
    <x v="2"/>
    <x v="1"/>
    <n v="54"/>
    <x v="0"/>
  </r>
  <r>
    <n v="218"/>
    <s v="Single"/>
    <x v="0"/>
    <n v="20000"/>
    <n v="0"/>
    <x v="1"/>
    <x v="3"/>
    <x v="3"/>
    <s v="No"/>
    <n v="2"/>
    <s v="Have Car"/>
    <x v="0"/>
    <x v="0"/>
    <n v="25"/>
    <x v="0"/>
  </r>
  <r>
    <n v="219"/>
    <s v="Single"/>
    <x v="1"/>
    <n v="10000"/>
    <n v="1"/>
    <x v="0"/>
    <x v="0"/>
    <x v="3"/>
    <s v="Yes"/>
    <n v="0"/>
    <s v="NoCar"/>
    <x v="0"/>
    <x v="0"/>
    <n v="48"/>
    <x v="0"/>
  </r>
  <r>
    <n v="220"/>
    <s v="Single"/>
    <x v="1"/>
    <n v="10000"/>
    <n v="0"/>
    <x v="1"/>
    <x v="1"/>
    <x v="3"/>
    <s v="Yes"/>
    <n v="1"/>
    <s v="Have Car"/>
    <x v="3"/>
    <x v="1"/>
    <n v="26"/>
    <x v="1"/>
  </r>
  <r>
    <n v="221"/>
    <s v="Married"/>
    <x v="1"/>
    <n v="60000"/>
    <n v="1"/>
    <x v="0"/>
    <x v="0"/>
    <x v="2"/>
    <s v="Yes"/>
    <n v="1"/>
    <s v="Have Car"/>
    <x v="2"/>
    <x v="1"/>
    <n v="43"/>
    <x v="1"/>
  </r>
  <r>
    <n v="222"/>
    <s v="Single"/>
    <x v="1"/>
    <n v="10000"/>
    <n v="0"/>
    <x v="1"/>
    <x v="3"/>
    <x v="3"/>
    <s v="No"/>
    <n v="2"/>
    <s v="Have Car"/>
    <x v="3"/>
    <x v="0"/>
    <n v="35"/>
    <x v="0"/>
  </r>
  <r>
    <n v="223"/>
    <s v="Married"/>
    <x v="0"/>
    <n v="30000"/>
    <n v="3"/>
    <x v="0"/>
    <x v="1"/>
    <x v="1"/>
    <s v="No"/>
    <n v="0"/>
    <s v="NoCar"/>
    <x v="0"/>
    <x v="0"/>
    <n v="42"/>
    <x v="0"/>
  </r>
  <r>
    <n v="224"/>
    <s v="Single"/>
    <x v="0"/>
    <n v="70000"/>
    <n v="5"/>
    <x v="0"/>
    <x v="0"/>
    <x v="2"/>
    <s v="Yes"/>
    <n v="4"/>
    <s v="Have Car"/>
    <x v="4"/>
    <x v="1"/>
    <n v="39"/>
    <x v="0"/>
  </r>
  <r>
    <n v="225"/>
    <s v="Married"/>
    <x v="0"/>
    <n v="30000"/>
    <n v="2"/>
    <x v="0"/>
    <x v="1"/>
    <x v="1"/>
    <s v="No"/>
    <n v="2"/>
    <s v="Have Car"/>
    <x v="0"/>
    <x v="1"/>
    <n v="67"/>
    <x v="0"/>
  </r>
  <r>
    <n v="226"/>
    <s v="Married"/>
    <x v="1"/>
    <n v="20000"/>
    <n v="1"/>
    <x v="0"/>
    <x v="1"/>
    <x v="3"/>
    <s v="Yes"/>
    <n v="0"/>
    <s v="NoCar"/>
    <x v="3"/>
    <x v="0"/>
    <n v="35"/>
    <x v="0"/>
  </r>
  <r>
    <n v="227"/>
    <s v="Single"/>
    <x v="0"/>
    <n v="20000"/>
    <n v="3"/>
    <x v="0"/>
    <x v="2"/>
    <x v="3"/>
    <s v="Yes"/>
    <n v="1"/>
    <s v="Have Car"/>
    <x v="0"/>
    <x v="0"/>
    <n v="42"/>
    <x v="1"/>
  </r>
  <r>
    <n v="228"/>
    <s v="Married"/>
    <x v="1"/>
    <n v="10000"/>
    <n v="3"/>
    <x v="0"/>
    <x v="3"/>
    <x v="3"/>
    <s v="Yes"/>
    <n v="2"/>
    <s v="Have Car"/>
    <x v="0"/>
    <x v="0"/>
    <n v="43"/>
    <x v="0"/>
  </r>
  <r>
    <n v="229"/>
    <s v="Married"/>
    <x v="0"/>
    <n v="20000"/>
    <n v="1"/>
    <x v="0"/>
    <x v="4"/>
    <x v="1"/>
    <s v="Yes"/>
    <n v="0"/>
    <s v="NoCar"/>
    <x v="0"/>
    <x v="0"/>
    <n v="45"/>
    <x v="0"/>
  </r>
  <r>
    <n v="230"/>
    <s v="Single"/>
    <x v="1"/>
    <n v="80000"/>
    <n v="5"/>
    <x v="0"/>
    <x v="2"/>
    <x v="4"/>
    <s v="Yes"/>
    <n v="3"/>
    <s v="Have Car"/>
    <x v="4"/>
    <x v="0"/>
    <n v="57"/>
    <x v="0"/>
  </r>
  <r>
    <n v="231"/>
    <s v="Married"/>
    <x v="1"/>
    <n v="120000"/>
    <n v="4"/>
    <x v="0"/>
    <x v="1"/>
    <x v="4"/>
    <s v="Yes"/>
    <n v="3"/>
    <s v="Have Car"/>
    <x v="4"/>
    <x v="0"/>
    <n v="56"/>
    <x v="0"/>
  </r>
  <r>
    <n v="232"/>
    <s v="Married"/>
    <x v="0"/>
    <n v="40000"/>
    <n v="0"/>
    <x v="1"/>
    <x v="0"/>
    <x v="1"/>
    <s v="Yes"/>
    <n v="0"/>
    <s v="NoCar"/>
    <x v="0"/>
    <x v="0"/>
    <n v="38"/>
    <x v="1"/>
  </r>
  <r>
    <n v="233"/>
    <s v="Married"/>
    <x v="0"/>
    <n v="30000"/>
    <n v="4"/>
    <x v="0"/>
    <x v="4"/>
    <x v="1"/>
    <s v="Yes"/>
    <n v="0"/>
    <s v="NoCar"/>
    <x v="0"/>
    <x v="0"/>
    <n v="45"/>
    <x v="0"/>
  </r>
  <r>
    <n v="234"/>
    <s v="Married"/>
    <x v="1"/>
    <n v="20000"/>
    <n v="0"/>
    <x v="1"/>
    <x v="0"/>
    <x v="1"/>
    <s v="Yes"/>
    <n v="0"/>
    <s v="NoCar"/>
    <x v="0"/>
    <x v="1"/>
    <n v="27"/>
    <x v="1"/>
  </r>
  <r>
    <n v="235"/>
    <s v="Single"/>
    <x v="1"/>
    <n v="90000"/>
    <n v="0"/>
    <x v="1"/>
    <x v="0"/>
    <x v="2"/>
    <s v="No"/>
    <n v="4"/>
    <s v="Have Car"/>
    <x v="4"/>
    <x v="1"/>
    <n v="35"/>
    <x v="1"/>
  </r>
  <r>
    <n v="236"/>
    <s v="Married"/>
    <x v="0"/>
    <n v="10000"/>
    <n v="1"/>
    <x v="0"/>
    <x v="4"/>
    <x v="1"/>
    <s v="Yes"/>
    <n v="0"/>
    <s v="NoCar"/>
    <x v="0"/>
    <x v="0"/>
    <n v="70"/>
    <x v="1"/>
  </r>
  <r>
    <n v="237"/>
    <s v="Single"/>
    <x v="0"/>
    <n v="30000"/>
    <n v="5"/>
    <x v="0"/>
    <x v="4"/>
    <x v="1"/>
    <s v="Yes"/>
    <n v="0"/>
    <s v="NoCar"/>
    <x v="0"/>
    <x v="0"/>
    <n v="44"/>
    <x v="1"/>
  </r>
  <r>
    <n v="238"/>
    <s v="Married"/>
    <x v="0"/>
    <n v="10000"/>
    <n v="0"/>
    <x v="1"/>
    <x v="1"/>
    <x v="3"/>
    <s v="No"/>
    <n v="1"/>
    <s v="Have Car"/>
    <x v="0"/>
    <x v="1"/>
    <n v="26"/>
    <x v="1"/>
  </r>
  <r>
    <n v="239"/>
    <s v="Married"/>
    <x v="1"/>
    <n v="70000"/>
    <n v="5"/>
    <x v="0"/>
    <x v="1"/>
    <x v="0"/>
    <s v="Yes"/>
    <n v="3"/>
    <s v="Have Car"/>
    <x v="2"/>
    <x v="1"/>
    <n v="46"/>
    <x v="0"/>
  </r>
  <r>
    <n v="240"/>
    <s v="Single"/>
    <x v="0"/>
    <n v="30000"/>
    <n v="0"/>
    <x v="1"/>
    <x v="2"/>
    <x v="3"/>
    <s v="No"/>
    <n v="1"/>
    <s v="Have Car"/>
    <x v="1"/>
    <x v="0"/>
    <n v="34"/>
    <x v="1"/>
  </r>
  <r>
    <n v="241"/>
    <s v="Married"/>
    <x v="1"/>
    <n v="10000"/>
    <n v="1"/>
    <x v="0"/>
    <x v="4"/>
    <x v="3"/>
    <s v="Yes"/>
    <n v="0"/>
    <s v="NoCar"/>
    <x v="0"/>
    <x v="0"/>
    <n v="37"/>
    <x v="0"/>
  </r>
  <r>
    <n v="242"/>
    <s v="Single"/>
    <x v="0"/>
    <n v="30000"/>
    <n v="3"/>
    <x v="0"/>
    <x v="1"/>
    <x v="1"/>
    <s v="Yes"/>
    <n v="2"/>
    <s v="Have Car"/>
    <x v="0"/>
    <x v="0"/>
    <n v="27"/>
    <x v="0"/>
  </r>
  <r>
    <n v="243"/>
    <s v="Single"/>
    <x v="1"/>
    <n v="30000"/>
    <n v="1"/>
    <x v="0"/>
    <x v="0"/>
    <x v="1"/>
    <s v="No"/>
    <n v="1"/>
    <s v="Have Car"/>
    <x v="0"/>
    <x v="0"/>
    <n v="39"/>
    <x v="1"/>
  </r>
  <r>
    <n v="244"/>
    <s v="Single"/>
    <x v="0"/>
    <n v="20000"/>
    <n v="0"/>
    <x v="1"/>
    <x v="2"/>
    <x v="3"/>
    <s v="No"/>
    <n v="1"/>
    <s v="Have Car"/>
    <x v="1"/>
    <x v="0"/>
    <n v="29"/>
    <x v="0"/>
  </r>
  <r>
    <n v="245"/>
    <s v="Married"/>
    <x v="0"/>
    <n v="120000"/>
    <n v="3"/>
    <x v="0"/>
    <x v="0"/>
    <x v="4"/>
    <s v="No"/>
    <n v="2"/>
    <s v="Have Car"/>
    <x v="4"/>
    <x v="0"/>
    <n v="52"/>
    <x v="1"/>
  </r>
  <r>
    <n v="246"/>
    <s v="Married"/>
    <x v="1"/>
    <n v="110000"/>
    <n v="5"/>
    <x v="0"/>
    <x v="0"/>
    <x v="4"/>
    <s v="Yes"/>
    <n v="4"/>
    <s v="Have Car"/>
    <x v="1"/>
    <x v="1"/>
    <n v="48"/>
    <x v="1"/>
  </r>
  <r>
    <n v="247"/>
    <s v="Married"/>
    <x v="0"/>
    <n v="130000"/>
    <n v="3"/>
    <x v="0"/>
    <x v="1"/>
    <x v="2"/>
    <s v="Yes"/>
    <n v="3"/>
    <s v="Have Car"/>
    <x v="0"/>
    <x v="0"/>
    <n v="51"/>
    <x v="1"/>
  </r>
  <r>
    <n v="248"/>
    <s v="Married"/>
    <x v="0"/>
    <n v="100000"/>
    <n v="0"/>
    <x v="1"/>
    <x v="2"/>
    <x v="4"/>
    <s v="Yes"/>
    <n v="4"/>
    <s v="Have Car"/>
    <x v="4"/>
    <x v="1"/>
    <n v="34"/>
    <x v="1"/>
  </r>
  <r>
    <n v="249"/>
    <s v="Married"/>
    <x v="0"/>
    <n v="10000"/>
    <n v="5"/>
    <x v="0"/>
    <x v="2"/>
    <x v="0"/>
    <s v="No"/>
    <n v="3"/>
    <s v="Have Car"/>
    <x v="3"/>
    <x v="1"/>
    <n v="62"/>
    <x v="0"/>
  </r>
  <r>
    <n v="250"/>
    <s v="Single"/>
    <x v="1"/>
    <n v="70000"/>
    <n v="0"/>
    <x v="1"/>
    <x v="0"/>
    <x v="2"/>
    <s v="Yes"/>
    <n v="1"/>
    <s v="Have Car"/>
    <x v="2"/>
    <x v="1"/>
    <n v="37"/>
    <x v="1"/>
  </r>
  <r>
    <n v="251"/>
    <s v="Married"/>
    <x v="1"/>
    <n v="100000"/>
    <n v="5"/>
    <x v="0"/>
    <x v="4"/>
    <x v="4"/>
    <s v="No"/>
    <n v="1"/>
    <s v="Have Car"/>
    <x v="3"/>
    <x v="1"/>
    <n v="78"/>
    <x v="1"/>
  </r>
  <r>
    <n v="252"/>
    <s v="Married"/>
    <x v="1"/>
    <n v="130000"/>
    <n v="4"/>
    <x v="0"/>
    <x v="2"/>
    <x v="2"/>
    <s v="Yes"/>
    <n v="3"/>
    <s v="Have Car"/>
    <x v="0"/>
    <x v="0"/>
    <n v="55"/>
    <x v="0"/>
  </r>
  <r>
    <n v="253"/>
    <s v="Single"/>
    <x v="1"/>
    <n v="60000"/>
    <n v="0"/>
    <x v="1"/>
    <x v="0"/>
    <x v="2"/>
    <s v="No"/>
    <n v="4"/>
    <s v="Have Car"/>
    <x v="1"/>
    <x v="1"/>
    <n v="31"/>
    <x v="0"/>
  </r>
  <r>
    <n v="254"/>
    <s v="Married"/>
    <x v="1"/>
    <n v="100000"/>
    <n v="3"/>
    <x v="0"/>
    <x v="3"/>
    <x v="2"/>
    <s v="Yes"/>
    <n v="0"/>
    <s v="NoCar"/>
    <x v="4"/>
    <x v="0"/>
    <n v="59"/>
    <x v="1"/>
  </r>
  <r>
    <n v="255"/>
    <s v="Single"/>
    <x v="1"/>
    <n v="20000"/>
    <n v="2"/>
    <x v="0"/>
    <x v="3"/>
    <x v="1"/>
    <s v="Yes"/>
    <n v="2"/>
    <s v="Have Car"/>
    <x v="2"/>
    <x v="1"/>
    <n v="57"/>
    <x v="0"/>
  </r>
  <r>
    <n v="256"/>
    <s v="Single"/>
    <x v="0"/>
    <n v="30000"/>
    <n v="3"/>
    <x v="0"/>
    <x v="4"/>
    <x v="1"/>
    <s v="Yes"/>
    <n v="0"/>
    <s v="NoCar"/>
    <x v="0"/>
    <x v="0"/>
    <n v="47"/>
    <x v="1"/>
  </r>
  <r>
    <n v="257"/>
    <s v="Married"/>
    <x v="1"/>
    <n v="20000"/>
    <n v="1"/>
    <x v="0"/>
    <x v="4"/>
    <x v="1"/>
    <s v="Yes"/>
    <n v="0"/>
    <s v="NoCar"/>
    <x v="0"/>
    <x v="0"/>
    <n v="43"/>
    <x v="0"/>
  </r>
  <r>
    <n v="258"/>
    <s v="Single"/>
    <x v="0"/>
    <n v="50000"/>
    <n v="0"/>
    <x v="1"/>
    <x v="4"/>
    <x v="0"/>
    <s v="Yes"/>
    <n v="0"/>
    <s v="NoCar"/>
    <x v="0"/>
    <x v="0"/>
    <n v="36"/>
    <x v="1"/>
  </r>
  <r>
    <n v="259"/>
    <s v="Single"/>
    <x v="0"/>
    <n v="100000"/>
    <n v="3"/>
    <x v="0"/>
    <x v="1"/>
    <x v="4"/>
    <s v="Yes"/>
    <n v="4"/>
    <s v="Have Car"/>
    <x v="4"/>
    <x v="0"/>
    <n v="56"/>
    <x v="0"/>
  </r>
  <r>
    <n v="260"/>
    <s v="Married"/>
    <x v="1"/>
    <n v="150000"/>
    <n v="0"/>
    <x v="1"/>
    <x v="0"/>
    <x v="4"/>
    <s v="Yes"/>
    <n v="4"/>
    <s v="Have Car"/>
    <x v="0"/>
    <x v="1"/>
    <n v="37"/>
    <x v="1"/>
  </r>
  <r>
    <n v="261"/>
    <s v="Single"/>
    <x v="0"/>
    <n v="30000"/>
    <n v="2"/>
    <x v="0"/>
    <x v="1"/>
    <x v="1"/>
    <s v="Yes"/>
    <n v="0"/>
    <s v="NoCar"/>
    <x v="0"/>
    <x v="0"/>
    <n v="43"/>
    <x v="0"/>
  </r>
  <r>
    <n v="262"/>
    <s v="Married"/>
    <x v="0"/>
    <n v="40000"/>
    <n v="1"/>
    <x v="0"/>
    <x v="0"/>
    <x v="0"/>
    <s v="Yes"/>
    <n v="1"/>
    <s v="Have Car"/>
    <x v="3"/>
    <x v="0"/>
    <n v="33"/>
    <x v="1"/>
  </r>
  <r>
    <n v="263"/>
    <s v="Married"/>
    <x v="0"/>
    <n v="10000"/>
    <n v="2"/>
    <x v="0"/>
    <x v="1"/>
    <x v="3"/>
    <s v="Yes"/>
    <n v="0"/>
    <s v="NoCar"/>
    <x v="3"/>
    <x v="0"/>
    <n v="51"/>
    <x v="0"/>
  </r>
  <r>
    <n v="264"/>
    <s v="Single"/>
    <x v="0"/>
    <n v="70000"/>
    <n v="5"/>
    <x v="0"/>
    <x v="0"/>
    <x v="2"/>
    <s v="Yes"/>
    <n v="3"/>
    <s v="Have Car"/>
    <x v="4"/>
    <x v="1"/>
    <n v="39"/>
    <x v="0"/>
  </r>
  <r>
    <n v="265"/>
    <s v="Married"/>
    <x v="1"/>
    <n v="40000"/>
    <n v="0"/>
    <x v="1"/>
    <x v="4"/>
    <x v="1"/>
    <s v="Yes"/>
    <n v="0"/>
    <s v="NoCar"/>
    <x v="0"/>
    <x v="0"/>
    <n v="37"/>
    <x v="1"/>
  </r>
  <r>
    <n v="266"/>
    <s v="Single"/>
    <x v="0"/>
    <n v="30000"/>
    <n v="2"/>
    <x v="0"/>
    <x v="1"/>
    <x v="1"/>
    <s v="Yes"/>
    <n v="2"/>
    <s v="Have Car"/>
    <x v="0"/>
    <x v="0"/>
    <n v="42"/>
    <x v="0"/>
  </r>
  <r>
    <n v="267"/>
    <s v="Single"/>
    <x v="0"/>
    <n v="20000"/>
    <n v="5"/>
    <x v="0"/>
    <x v="2"/>
    <x v="3"/>
    <s v="Yes"/>
    <n v="2"/>
    <s v="Have Car"/>
    <x v="0"/>
    <x v="0"/>
    <n v="27"/>
    <x v="0"/>
  </r>
  <r>
    <n v="268"/>
    <s v="Single"/>
    <x v="1"/>
    <n v="100000"/>
    <n v="5"/>
    <x v="0"/>
    <x v="0"/>
    <x v="2"/>
    <s v="Yes"/>
    <n v="1"/>
    <s v="Have Car"/>
    <x v="2"/>
    <x v="1"/>
    <n v="47"/>
    <x v="1"/>
  </r>
  <r>
    <n v="269"/>
    <s v="Married"/>
    <x v="1"/>
    <n v="70000"/>
    <n v="5"/>
    <x v="0"/>
    <x v="1"/>
    <x v="0"/>
    <s v="Yes"/>
    <n v="3"/>
    <s v="Have Car"/>
    <x v="2"/>
    <x v="1"/>
    <n v="45"/>
    <x v="0"/>
  </r>
  <r>
    <n v="270"/>
    <s v="Single"/>
    <x v="0"/>
    <n v="50000"/>
    <n v="0"/>
    <x v="1"/>
    <x v="4"/>
    <x v="0"/>
    <s v="No"/>
    <n v="0"/>
    <s v="NoCar"/>
    <x v="0"/>
    <x v="0"/>
    <n v="37"/>
    <x v="1"/>
  </r>
  <r>
    <n v="271"/>
    <s v="Single"/>
    <x v="0"/>
    <n v="10000"/>
    <n v="2"/>
    <x v="0"/>
    <x v="1"/>
    <x v="3"/>
    <s v="Yes"/>
    <n v="0"/>
    <s v="NoCar"/>
    <x v="0"/>
    <x v="0"/>
    <n v="51"/>
    <x v="1"/>
  </r>
  <r>
    <n v="272"/>
    <s v="Single"/>
    <x v="0"/>
    <n v="20000"/>
    <n v="0"/>
    <x v="1"/>
    <x v="2"/>
    <x v="3"/>
    <s v="No"/>
    <n v="1"/>
    <s v="Have Car"/>
    <x v="3"/>
    <x v="0"/>
    <n v="28"/>
    <x v="0"/>
  </r>
  <r>
    <n v="273"/>
    <s v="Married"/>
    <x v="1"/>
    <n v="10000"/>
    <n v="4"/>
    <x v="0"/>
    <x v="3"/>
    <x v="3"/>
    <s v="Yes"/>
    <n v="1"/>
    <s v="Have Car"/>
    <x v="0"/>
    <x v="0"/>
    <n v="40"/>
    <x v="1"/>
  </r>
  <r>
    <n v="274"/>
    <s v="Single"/>
    <x v="0"/>
    <n v="20000"/>
    <n v="0"/>
    <x v="1"/>
    <x v="2"/>
    <x v="3"/>
    <s v="No"/>
    <n v="1"/>
    <s v="Have Car"/>
    <x v="1"/>
    <x v="0"/>
    <n v="30"/>
    <x v="0"/>
  </r>
  <r>
    <n v="275"/>
    <s v="Married"/>
    <x v="0"/>
    <n v="30000"/>
    <n v="0"/>
    <x v="1"/>
    <x v="0"/>
    <x v="1"/>
    <s v="No"/>
    <n v="0"/>
    <s v="NoCar"/>
    <x v="0"/>
    <x v="0"/>
    <n v="36"/>
    <x v="1"/>
  </r>
  <r>
    <n v="276"/>
    <s v="Married"/>
    <x v="0"/>
    <n v="90000"/>
    <n v="1"/>
    <x v="0"/>
    <x v="4"/>
    <x v="4"/>
    <s v="Yes"/>
    <n v="0"/>
    <s v="NoCar"/>
    <x v="0"/>
    <x v="1"/>
    <n v="37"/>
    <x v="1"/>
  </r>
  <r>
    <n v="277"/>
    <s v="Married"/>
    <x v="0"/>
    <n v="10000"/>
    <n v="2"/>
    <x v="0"/>
    <x v="1"/>
    <x v="3"/>
    <s v="Yes"/>
    <n v="0"/>
    <s v="NoCar"/>
    <x v="3"/>
    <x v="0"/>
    <n v="49"/>
    <x v="0"/>
  </r>
  <r>
    <n v="278"/>
    <s v="Married"/>
    <x v="0"/>
    <n v="10000"/>
    <n v="2"/>
    <x v="0"/>
    <x v="2"/>
    <x v="3"/>
    <s v="Yes"/>
    <n v="0"/>
    <s v="NoCar"/>
    <x v="0"/>
    <x v="0"/>
    <n v="37"/>
    <x v="1"/>
  </r>
  <r>
    <n v="279"/>
    <s v="Married"/>
    <x v="1"/>
    <n v="100000"/>
    <n v="0"/>
    <x v="1"/>
    <x v="2"/>
    <x v="4"/>
    <s v="Yes"/>
    <n v="3"/>
    <s v="Have Car"/>
    <x v="4"/>
    <x v="1"/>
    <n v="35"/>
    <x v="1"/>
  </r>
  <r>
    <n v="280"/>
    <s v="Single"/>
    <x v="1"/>
    <n v="30000"/>
    <n v="1"/>
    <x v="0"/>
    <x v="0"/>
    <x v="1"/>
    <s v="No"/>
    <n v="0"/>
    <s v="NoCar"/>
    <x v="0"/>
    <x v="0"/>
    <n v="38"/>
    <x v="1"/>
  </r>
  <r>
    <n v="281"/>
    <s v="Single"/>
    <x v="0"/>
    <n v="10000"/>
    <n v="3"/>
    <x v="0"/>
    <x v="3"/>
    <x v="3"/>
    <s v="Yes"/>
    <n v="2"/>
    <s v="Have Car"/>
    <x v="0"/>
    <x v="0"/>
    <n v="43"/>
    <x v="0"/>
  </r>
  <r>
    <n v="282"/>
    <s v="Single"/>
    <x v="1"/>
    <n v="20000"/>
    <n v="1"/>
    <x v="0"/>
    <x v="1"/>
    <x v="3"/>
    <s v="No"/>
    <n v="0"/>
    <s v="NoCar"/>
    <x v="0"/>
    <x v="0"/>
    <n v="37"/>
    <x v="0"/>
  </r>
  <r>
    <n v="283"/>
    <s v="Single"/>
    <x v="1"/>
    <n v="10000"/>
    <n v="0"/>
    <x v="1"/>
    <x v="3"/>
    <x v="3"/>
    <s v="No"/>
    <n v="2"/>
    <s v="Have Car"/>
    <x v="0"/>
    <x v="0"/>
    <n v="34"/>
    <x v="0"/>
  </r>
  <r>
    <n v="284"/>
    <s v="Married"/>
    <x v="0"/>
    <n v="70000"/>
    <n v="5"/>
    <x v="0"/>
    <x v="1"/>
    <x v="0"/>
    <s v="No"/>
    <n v="3"/>
    <s v="Have Car"/>
    <x v="2"/>
    <x v="1"/>
    <n v="46"/>
    <x v="0"/>
  </r>
  <r>
    <n v="285"/>
    <s v="Single"/>
    <x v="1"/>
    <n v="10000"/>
    <n v="1"/>
    <x v="0"/>
    <x v="1"/>
    <x v="3"/>
    <s v="Yes"/>
    <n v="0"/>
    <s v="NoCar"/>
    <x v="0"/>
    <x v="0"/>
    <n v="49"/>
    <x v="0"/>
  </r>
  <r>
    <n v="286"/>
    <s v="Married"/>
    <x v="0"/>
    <n v="60000"/>
    <n v="1"/>
    <x v="0"/>
    <x v="1"/>
    <x v="0"/>
    <s v="Yes"/>
    <n v="1"/>
    <s v="Have Car"/>
    <x v="2"/>
    <x v="1"/>
    <n v="45"/>
    <x v="0"/>
  </r>
  <r>
    <n v="287"/>
    <s v="Single"/>
    <x v="0"/>
    <n v="100000"/>
    <n v="1"/>
    <x v="0"/>
    <x v="0"/>
    <x v="4"/>
    <s v="Yes"/>
    <n v="4"/>
    <s v="Have Car"/>
    <x v="1"/>
    <x v="1"/>
    <n v="48"/>
    <x v="0"/>
  </r>
  <r>
    <n v="288"/>
    <s v="Single"/>
    <x v="0"/>
    <n v="30000"/>
    <n v="3"/>
    <x v="0"/>
    <x v="4"/>
    <x v="1"/>
    <s v="No"/>
    <n v="0"/>
    <s v="NoCar"/>
    <x v="0"/>
    <x v="0"/>
    <n v="46"/>
    <x v="1"/>
  </r>
  <r>
    <n v="289"/>
    <s v="Married"/>
    <x v="1"/>
    <n v="130000"/>
    <n v="0"/>
    <x v="1"/>
    <x v="4"/>
    <x v="4"/>
    <s v="Yes"/>
    <n v="0"/>
    <s v="NoCar"/>
    <x v="2"/>
    <x v="1"/>
    <n v="48"/>
    <x v="0"/>
  </r>
  <r>
    <n v="290"/>
    <s v="Married"/>
    <x v="1"/>
    <n v="30000"/>
    <n v="3"/>
    <x v="0"/>
    <x v="2"/>
    <x v="0"/>
    <s v="Yes"/>
    <n v="2"/>
    <s v="Have Car"/>
    <x v="2"/>
    <x v="1"/>
    <n v="54"/>
    <x v="1"/>
  </r>
  <r>
    <n v="291"/>
    <s v="Single"/>
    <x v="0"/>
    <n v="60000"/>
    <n v="1"/>
    <x v="0"/>
    <x v="1"/>
    <x v="0"/>
    <s v="No"/>
    <n v="1"/>
    <s v="Have Car"/>
    <x v="0"/>
    <x v="1"/>
    <n v="46"/>
    <x v="1"/>
  </r>
  <r>
    <n v="292"/>
    <s v="Married"/>
    <x v="1"/>
    <n v="40000"/>
    <n v="0"/>
    <x v="1"/>
    <x v="0"/>
    <x v="1"/>
    <s v="No"/>
    <n v="0"/>
    <s v="NoCar"/>
    <x v="0"/>
    <x v="0"/>
    <n v="38"/>
    <x v="1"/>
  </r>
  <r>
    <n v="293"/>
    <s v="Married"/>
    <x v="0"/>
    <n v="40000"/>
    <n v="1"/>
    <x v="0"/>
    <x v="0"/>
    <x v="0"/>
    <s v="Yes"/>
    <n v="0"/>
    <s v="NoCar"/>
    <x v="0"/>
    <x v="0"/>
    <n v="42"/>
    <x v="1"/>
  </r>
  <r>
    <n v="294"/>
    <s v="Single"/>
    <x v="0"/>
    <n v="10000"/>
    <n v="1"/>
    <x v="0"/>
    <x v="2"/>
    <x v="3"/>
    <s v="No"/>
    <n v="1"/>
    <s v="Have Car"/>
    <x v="1"/>
    <x v="0"/>
    <n v="46"/>
    <x v="1"/>
  </r>
  <r>
    <n v="295"/>
    <s v="Single"/>
    <x v="1"/>
    <n v="20000"/>
    <n v="0"/>
    <x v="1"/>
    <x v="1"/>
    <x v="3"/>
    <s v="No"/>
    <n v="1"/>
    <s v="Have Car"/>
    <x v="1"/>
    <x v="0"/>
    <n v="36"/>
    <x v="1"/>
  </r>
  <r>
    <n v="296"/>
    <s v="Single"/>
    <x v="0"/>
    <n v="110000"/>
    <n v="0"/>
    <x v="1"/>
    <x v="1"/>
    <x v="4"/>
    <s v="Yes"/>
    <n v="3"/>
    <s v="Have Car"/>
    <x v="4"/>
    <x v="1"/>
    <n v="32"/>
    <x v="1"/>
  </r>
  <r>
    <n v="297"/>
    <s v="Single"/>
    <x v="0"/>
    <n v="60000"/>
    <n v="2"/>
    <x v="0"/>
    <x v="0"/>
    <x v="2"/>
    <s v="No"/>
    <n v="1"/>
    <s v="Have Car"/>
    <x v="0"/>
    <x v="1"/>
    <n v="39"/>
    <x v="1"/>
  </r>
  <r>
    <n v="298"/>
    <s v="Married"/>
    <x v="1"/>
    <n v="100000"/>
    <n v="1"/>
    <x v="0"/>
    <x v="4"/>
    <x v="4"/>
    <s v="Yes"/>
    <n v="0"/>
    <s v="NoCar"/>
    <x v="1"/>
    <x v="1"/>
    <n v="36"/>
    <x v="1"/>
  </r>
  <r>
    <n v="299"/>
    <s v="Married"/>
    <x v="0"/>
    <n v="90000"/>
    <n v="4"/>
    <x v="0"/>
    <x v="2"/>
    <x v="2"/>
    <s v="No"/>
    <n v="2"/>
    <s v="Have Car"/>
    <x v="1"/>
    <x v="0"/>
    <n v="54"/>
    <x v="1"/>
  </r>
  <r>
    <n v="300"/>
    <s v="Married"/>
    <x v="0"/>
    <n v="30000"/>
    <n v="2"/>
    <x v="0"/>
    <x v="1"/>
    <x v="1"/>
    <s v="No"/>
    <n v="2"/>
    <s v="Have Car"/>
    <x v="2"/>
    <x v="1"/>
    <n v="69"/>
    <x v="0"/>
  </r>
  <r>
    <n v="301"/>
    <s v="Single"/>
    <x v="0"/>
    <n v="10000"/>
    <n v="5"/>
    <x v="0"/>
    <x v="2"/>
    <x v="0"/>
    <s v="No"/>
    <n v="2"/>
    <s v="Have Car"/>
    <x v="3"/>
    <x v="1"/>
    <n v="62"/>
    <x v="0"/>
  </r>
  <r>
    <n v="302"/>
    <s v="Single"/>
    <x v="0"/>
    <n v="40000"/>
    <n v="0"/>
    <x v="1"/>
    <x v="0"/>
    <x v="1"/>
    <s v="No"/>
    <n v="0"/>
    <s v="NoCar"/>
    <x v="0"/>
    <x v="1"/>
    <n v="28"/>
    <x v="1"/>
  </r>
  <r>
    <n v="303"/>
    <s v="Single"/>
    <x v="1"/>
    <n v="30000"/>
    <n v="1"/>
    <x v="0"/>
    <x v="0"/>
    <x v="1"/>
    <s v="Yes"/>
    <n v="0"/>
    <s v="NoCar"/>
    <x v="0"/>
    <x v="0"/>
    <n v="62"/>
    <x v="1"/>
  </r>
  <r>
    <n v="304"/>
    <s v="Married"/>
    <x v="0"/>
    <n v="30000"/>
    <n v="1"/>
    <x v="0"/>
    <x v="0"/>
    <x v="0"/>
    <s v="Yes"/>
    <n v="2"/>
    <s v="Have Car"/>
    <x v="0"/>
    <x v="0"/>
    <n v="40"/>
    <x v="0"/>
  </r>
  <r>
    <n v="305"/>
    <s v="Married"/>
    <x v="1"/>
    <n v="80000"/>
    <n v="4"/>
    <x v="0"/>
    <x v="4"/>
    <x v="4"/>
    <s v="Yes"/>
    <n v="1"/>
    <s v="Have Car"/>
    <x v="0"/>
    <x v="1"/>
    <n v="36"/>
    <x v="1"/>
  </r>
  <r>
    <n v="306"/>
    <s v="Single"/>
    <x v="1"/>
    <n v="10000"/>
    <n v="2"/>
    <x v="0"/>
    <x v="3"/>
    <x v="1"/>
    <s v="Yes"/>
    <n v="2"/>
    <s v="Have Car"/>
    <x v="2"/>
    <x v="1"/>
    <n v="58"/>
    <x v="0"/>
  </r>
  <r>
    <n v="307"/>
    <s v="Married"/>
    <x v="1"/>
    <n v="90000"/>
    <n v="2"/>
    <x v="0"/>
    <x v="0"/>
    <x v="2"/>
    <s v="Yes"/>
    <n v="0"/>
    <s v="NoCar"/>
    <x v="3"/>
    <x v="1"/>
    <n v="40"/>
    <x v="1"/>
  </r>
  <r>
    <n v="308"/>
    <s v="Married"/>
    <x v="1"/>
    <n v="10000"/>
    <n v="2"/>
    <x v="0"/>
    <x v="0"/>
    <x v="1"/>
    <s v="Yes"/>
    <n v="1"/>
    <s v="Have Car"/>
    <x v="0"/>
    <x v="0"/>
    <n v="66"/>
    <x v="0"/>
  </r>
  <r>
    <n v="309"/>
    <s v="Married"/>
    <x v="1"/>
    <n v="40000"/>
    <n v="2"/>
    <x v="0"/>
    <x v="1"/>
    <x v="1"/>
    <s v="Yes"/>
    <n v="1"/>
    <s v="Have Car"/>
    <x v="3"/>
    <x v="0"/>
    <n v="35"/>
    <x v="1"/>
  </r>
  <r>
    <n v="310"/>
    <s v="Married"/>
    <x v="0"/>
    <n v="20000"/>
    <n v="2"/>
    <x v="0"/>
    <x v="1"/>
    <x v="3"/>
    <s v="Yes"/>
    <n v="1"/>
    <s v="Have Car"/>
    <x v="1"/>
    <x v="0"/>
    <n v="47"/>
    <x v="1"/>
  </r>
  <r>
    <n v="311"/>
    <s v="Married"/>
    <x v="1"/>
    <n v="120000"/>
    <n v="4"/>
    <x v="0"/>
    <x v="0"/>
    <x v="4"/>
    <s v="Yes"/>
    <n v="1"/>
    <s v="Have Car"/>
    <x v="1"/>
    <x v="1"/>
    <n v="47"/>
    <x v="0"/>
  </r>
  <r>
    <n v="312"/>
    <s v="Married"/>
    <x v="1"/>
    <n v="60000"/>
    <n v="1"/>
    <x v="0"/>
    <x v="1"/>
    <x v="0"/>
    <s v="Yes"/>
    <n v="1"/>
    <s v="Have Car"/>
    <x v="2"/>
    <x v="1"/>
    <n v="46"/>
    <x v="0"/>
  </r>
  <r>
    <n v="313"/>
    <s v="Married"/>
    <x v="1"/>
    <n v="20000"/>
    <n v="4"/>
    <x v="0"/>
    <x v="2"/>
    <x v="0"/>
    <s v="Yes"/>
    <n v="2"/>
    <s v="Have Car"/>
    <x v="2"/>
    <x v="1"/>
    <n v="58"/>
    <x v="1"/>
  </r>
  <r>
    <n v="314"/>
    <s v="Single"/>
    <x v="1"/>
    <n v="40000"/>
    <n v="3"/>
    <x v="0"/>
    <x v="3"/>
    <x v="1"/>
    <s v="No"/>
    <n v="2"/>
    <s v="Have Car"/>
    <x v="2"/>
    <x v="1"/>
    <n v="52"/>
    <x v="1"/>
  </r>
  <r>
    <n v="315"/>
    <s v="Married"/>
    <x v="1"/>
    <n v="80000"/>
    <n v="5"/>
    <x v="0"/>
    <x v="0"/>
    <x v="2"/>
    <s v="No"/>
    <n v="1"/>
    <s v="Have Car"/>
    <x v="0"/>
    <x v="1"/>
    <n v="47"/>
    <x v="1"/>
  </r>
  <r>
    <n v="316"/>
    <s v="Single"/>
    <x v="1"/>
    <n v="70000"/>
    <n v="0"/>
    <x v="1"/>
    <x v="0"/>
    <x v="2"/>
    <s v="No"/>
    <n v="1"/>
    <s v="Have Car"/>
    <x v="2"/>
    <x v="1"/>
    <n v="41"/>
    <x v="0"/>
  </r>
  <r>
    <n v="317"/>
    <s v="Married"/>
    <x v="1"/>
    <n v="50000"/>
    <n v="2"/>
    <x v="0"/>
    <x v="4"/>
    <x v="4"/>
    <s v="Yes"/>
    <n v="1"/>
    <s v="Have Car"/>
    <x v="2"/>
    <x v="1"/>
    <n v="64"/>
    <x v="1"/>
  </r>
  <r>
    <n v="318"/>
    <s v="Married"/>
    <x v="1"/>
    <n v="30000"/>
    <n v="0"/>
    <x v="1"/>
    <x v="0"/>
    <x v="1"/>
    <s v="Yes"/>
    <n v="0"/>
    <s v="NoCar"/>
    <x v="0"/>
    <x v="0"/>
    <n v="35"/>
    <x v="1"/>
  </r>
  <r>
    <n v="319"/>
    <s v="Married"/>
    <x v="1"/>
    <n v="130000"/>
    <n v="4"/>
    <x v="0"/>
    <x v="1"/>
    <x v="2"/>
    <s v="No"/>
    <n v="3"/>
    <s v="Have Car"/>
    <x v="4"/>
    <x v="0"/>
    <n v="54"/>
    <x v="0"/>
  </r>
  <r>
    <n v="320"/>
    <s v="Married"/>
    <x v="0"/>
    <n v="30000"/>
    <n v="3"/>
    <x v="0"/>
    <x v="0"/>
    <x v="1"/>
    <s v="Yes"/>
    <n v="0"/>
    <s v="NoCar"/>
    <x v="0"/>
    <x v="0"/>
    <n v="45"/>
    <x v="0"/>
  </r>
  <r>
    <n v="321"/>
    <s v="Married"/>
    <x v="1"/>
    <n v="100000"/>
    <n v="0"/>
    <x v="1"/>
    <x v="4"/>
    <x v="4"/>
    <s v="Yes"/>
    <n v="0"/>
    <s v="NoCar"/>
    <x v="1"/>
    <x v="1"/>
    <n v="40"/>
    <x v="1"/>
  </r>
  <r>
    <n v="322"/>
    <s v="Single"/>
    <x v="0"/>
    <n v="160000"/>
    <n v="0"/>
    <x v="1"/>
    <x v="4"/>
    <x v="4"/>
    <s v="No"/>
    <n v="3"/>
    <s v="Have Car"/>
    <x v="0"/>
    <x v="1"/>
    <n v="47"/>
    <x v="1"/>
  </r>
  <r>
    <n v="323"/>
    <s v="Single"/>
    <x v="0"/>
    <n v="10000"/>
    <n v="4"/>
    <x v="0"/>
    <x v="3"/>
    <x v="3"/>
    <s v="Yes"/>
    <n v="2"/>
    <s v="Have Car"/>
    <x v="0"/>
    <x v="0"/>
    <n v="41"/>
    <x v="1"/>
  </r>
  <r>
    <n v="324"/>
    <s v="Single"/>
    <x v="0"/>
    <n v="40000"/>
    <n v="0"/>
    <x v="1"/>
    <x v="4"/>
    <x v="1"/>
    <s v="No"/>
    <n v="0"/>
    <s v="NoCar"/>
    <x v="0"/>
    <x v="0"/>
    <n v="37"/>
    <x v="1"/>
  </r>
  <r>
    <n v="325"/>
    <s v="Married"/>
    <x v="1"/>
    <n v="90000"/>
    <n v="4"/>
    <x v="0"/>
    <x v="0"/>
    <x v="2"/>
    <s v="Yes"/>
    <n v="0"/>
    <s v="NoCar"/>
    <x v="3"/>
    <x v="1"/>
    <n v="38"/>
    <x v="1"/>
  </r>
  <r>
    <n v="326"/>
    <s v="Single"/>
    <x v="1"/>
    <n v="40000"/>
    <n v="2"/>
    <x v="0"/>
    <x v="1"/>
    <x v="1"/>
    <s v="No"/>
    <n v="2"/>
    <s v="Have Car"/>
    <x v="0"/>
    <x v="0"/>
    <n v="36"/>
    <x v="1"/>
  </r>
  <r>
    <n v="327"/>
    <s v="Married"/>
    <x v="0"/>
    <n v="20000"/>
    <n v="0"/>
    <x v="1"/>
    <x v="0"/>
    <x v="1"/>
    <s v="No"/>
    <n v="0"/>
    <s v="NoCar"/>
    <x v="0"/>
    <x v="1"/>
    <n v="26"/>
    <x v="1"/>
  </r>
  <r>
    <n v="328"/>
    <s v="Married"/>
    <x v="1"/>
    <n v="30000"/>
    <n v="1"/>
    <x v="0"/>
    <x v="0"/>
    <x v="0"/>
    <s v="Yes"/>
    <n v="2"/>
    <s v="Have Car"/>
    <x v="0"/>
    <x v="0"/>
    <n v="40"/>
    <x v="0"/>
  </r>
  <r>
    <n v="329"/>
    <s v="Single"/>
    <x v="1"/>
    <n v="40000"/>
    <n v="2"/>
    <x v="0"/>
    <x v="1"/>
    <x v="1"/>
    <s v="Yes"/>
    <n v="2"/>
    <s v="Have Car"/>
    <x v="3"/>
    <x v="0"/>
    <n v="36"/>
    <x v="0"/>
  </r>
  <r>
    <n v="330"/>
    <s v="Married"/>
    <x v="0"/>
    <n v="90000"/>
    <n v="5"/>
    <x v="0"/>
    <x v="3"/>
    <x v="0"/>
    <s v="Yes"/>
    <n v="2"/>
    <s v="Have Car"/>
    <x v="4"/>
    <x v="0"/>
    <n v="59"/>
    <x v="0"/>
  </r>
  <r>
    <n v="331"/>
    <s v="Single"/>
    <x v="0"/>
    <n v="80000"/>
    <n v="0"/>
    <x v="1"/>
    <x v="0"/>
    <x v="2"/>
    <s v="Yes"/>
    <n v="3"/>
    <s v="Have Car"/>
    <x v="4"/>
    <x v="1"/>
    <n v="32"/>
    <x v="0"/>
  </r>
  <r>
    <n v="332"/>
    <s v="Married"/>
    <x v="1"/>
    <n v="10000"/>
    <n v="0"/>
    <x v="1"/>
    <x v="3"/>
    <x v="3"/>
    <s v="No"/>
    <n v="2"/>
    <s v="Have Car"/>
    <x v="0"/>
    <x v="0"/>
    <n v="30"/>
    <x v="0"/>
  </r>
  <r>
    <n v="333"/>
    <s v="Single"/>
    <x v="0"/>
    <n v="20000"/>
    <n v="0"/>
    <x v="1"/>
    <x v="3"/>
    <x v="3"/>
    <s v="No"/>
    <n v="2"/>
    <s v="Have Car"/>
    <x v="3"/>
    <x v="0"/>
    <n v="35"/>
    <x v="1"/>
  </r>
  <r>
    <n v="334"/>
    <s v="Married"/>
    <x v="1"/>
    <n v="130000"/>
    <n v="3"/>
    <x v="0"/>
    <x v="2"/>
    <x v="2"/>
    <s v="Yes"/>
    <n v="4"/>
    <s v="Have Car"/>
    <x v="2"/>
    <x v="0"/>
    <n v="51"/>
    <x v="1"/>
  </r>
  <r>
    <n v="335"/>
    <s v="Married"/>
    <x v="1"/>
    <n v="90000"/>
    <n v="2"/>
    <x v="0"/>
    <x v="0"/>
    <x v="2"/>
    <s v="Yes"/>
    <n v="1"/>
    <s v="Have Car"/>
    <x v="2"/>
    <x v="1"/>
    <n v="47"/>
    <x v="0"/>
  </r>
  <r>
    <n v="336"/>
    <s v="Married"/>
    <x v="1"/>
    <n v="80000"/>
    <n v="5"/>
    <x v="0"/>
    <x v="4"/>
    <x v="4"/>
    <s v="No"/>
    <n v="2"/>
    <s v="Have Car"/>
    <x v="0"/>
    <x v="1"/>
    <n v="39"/>
    <x v="0"/>
  </r>
  <r>
    <n v="337"/>
    <s v="Single"/>
    <x v="1"/>
    <n v="20000"/>
    <n v="0"/>
    <x v="1"/>
    <x v="3"/>
    <x v="3"/>
    <s v="No"/>
    <n v="2"/>
    <s v="Have Car"/>
    <x v="0"/>
    <x v="0"/>
    <n v="34"/>
    <x v="0"/>
  </r>
  <r>
    <n v="338"/>
    <s v="Married"/>
    <x v="1"/>
    <n v="10000"/>
    <n v="0"/>
    <x v="1"/>
    <x v="3"/>
    <x v="3"/>
    <s v="Yes"/>
    <n v="2"/>
    <s v="Have Car"/>
    <x v="0"/>
    <x v="0"/>
    <n v="32"/>
    <x v="0"/>
  </r>
  <r>
    <n v="339"/>
    <s v="Single"/>
    <x v="0"/>
    <n v="120000"/>
    <n v="3"/>
    <x v="0"/>
    <x v="2"/>
    <x v="2"/>
    <s v="Yes"/>
    <n v="4"/>
    <s v="Have Car"/>
    <x v="2"/>
    <x v="0"/>
    <n v="50"/>
    <x v="1"/>
  </r>
  <r>
    <n v="340"/>
    <s v="Married"/>
    <x v="1"/>
    <n v="20000"/>
    <n v="1"/>
    <x v="0"/>
    <x v="0"/>
    <x v="1"/>
    <s v="Yes"/>
    <n v="0"/>
    <s v="NoCar"/>
    <x v="0"/>
    <x v="0"/>
    <n v="66"/>
    <x v="0"/>
  </r>
  <r>
    <n v="341"/>
    <s v="Single"/>
    <x v="1"/>
    <n v="30000"/>
    <n v="0"/>
    <x v="1"/>
    <x v="1"/>
    <x v="1"/>
    <s v="Yes"/>
    <n v="1"/>
    <s v="Have Car"/>
    <x v="1"/>
    <x v="0"/>
    <n v="30"/>
    <x v="0"/>
  </r>
  <r>
    <n v="342"/>
    <s v="Single"/>
    <x v="0"/>
    <n v="30000"/>
    <n v="0"/>
    <x v="1"/>
    <x v="2"/>
    <x v="3"/>
    <s v="No"/>
    <n v="1"/>
    <s v="Have Car"/>
    <x v="1"/>
    <x v="0"/>
    <n v="32"/>
    <x v="1"/>
  </r>
  <r>
    <n v="343"/>
    <s v="Single"/>
    <x v="1"/>
    <n v="10000"/>
    <n v="0"/>
    <x v="1"/>
    <x v="3"/>
    <x v="3"/>
    <s v="Yes"/>
    <n v="2"/>
    <s v="Have Car"/>
    <x v="3"/>
    <x v="0"/>
    <n v="35"/>
    <x v="0"/>
  </r>
  <r>
    <n v="344"/>
    <s v="Single"/>
    <x v="0"/>
    <n v="30000"/>
    <n v="0"/>
    <x v="1"/>
    <x v="2"/>
    <x v="3"/>
    <s v="No"/>
    <n v="1"/>
    <s v="Have Car"/>
    <x v="1"/>
    <x v="0"/>
    <n v="32"/>
    <x v="0"/>
  </r>
  <r>
    <n v="345"/>
    <s v="Single"/>
    <x v="1"/>
    <n v="30000"/>
    <n v="0"/>
    <x v="1"/>
    <x v="1"/>
    <x v="1"/>
    <s v="No"/>
    <n v="1"/>
    <s v="Have Car"/>
    <x v="1"/>
    <x v="0"/>
    <n v="31"/>
    <x v="1"/>
  </r>
  <r>
    <n v="346"/>
    <s v="Married"/>
    <x v="0"/>
    <n v="20000"/>
    <n v="1"/>
    <x v="0"/>
    <x v="0"/>
    <x v="1"/>
    <s v="Yes"/>
    <n v="0"/>
    <s v="NoCar"/>
    <x v="0"/>
    <x v="0"/>
    <n v="50"/>
    <x v="1"/>
  </r>
  <r>
    <n v="347"/>
    <s v="Married"/>
    <x v="1"/>
    <n v="40000"/>
    <n v="1"/>
    <x v="0"/>
    <x v="0"/>
    <x v="0"/>
    <s v="No"/>
    <n v="0"/>
    <s v="NoCar"/>
    <x v="0"/>
    <x v="0"/>
    <n v="43"/>
    <x v="1"/>
  </r>
  <r>
    <n v="348"/>
    <s v="Single"/>
    <x v="0"/>
    <n v="60000"/>
    <n v="1"/>
    <x v="0"/>
    <x v="1"/>
    <x v="0"/>
    <s v="No"/>
    <n v="1"/>
    <s v="Have Car"/>
    <x v="0"/>
    <x v="1"/>
    <n v="45"/>
    <x v="1"/>
  </r>
  <r>
    <n v="349"/>
    <s v="Married"/>
    <x v="1"/>
    <n v="20000"/>
    <n v="2"/>
    <x v="0"/>
    <x v="2"/>
    <x v="3"/>
    <s v="Yes"/>
    <n v="2"/>
    <s v="Have Car"/>
    <x v="0"/>
    <x v="0"/>
    <n v="42"/>
    <x v="0"/>
  </r>
  <r>
    <n v="350"/>
    <s v="Single"/>
    <x v="0"/>
    <n v="30000"/>
    <n v="0"/>
    <x v="1"/>
    <x v="1"/>
    <x v="1"/>
    <s v="No"/>
    <n v="1"/>
    <s v="Have Car"/>
    <x v="0"/>
    <x v="0"/>
    <n v="29"/>
    <x v="1"/>
  </r>
  <r>
    <n v="351"/>
    <s v="Single"/>
    <x v="1"/>
    <n v="20000"/>
    <n v="0"/>
    <x v="1"/>
    <x v="1"/>
    <x v="3"/>
    <s v="No"/>
    <n v="0"/>
    <s v="NoCar"/>
    <x v="0"/>
    <x v="1"/>
    <n v="28"/>
    <x v="1"/>
  </r>
  <r>
    <n v="352"/>
    <s v="Single"/>
    <x v="1"/>
    <n v="10000"/>
    <n v="3"/>
    <x v="0"/>
    <x v="2"/>
    <x v="3"/>
    <s v="Yes"/>
    <n v="0"/>
    <s v="NoCar"/>
    <x v="0"/>
    <x v="0"/>
    <n v="37"/>
    <x v="1"/>
  </r>
  <r>
    <n v="353"/>
    <s v="Married"/>
    <x v="0"/>
    <n v="80000"/>
    <n v="4"/>
    <x v="0"/>
    <x v="1"/>
    <x v="2"/>
    <s v="Yes"/>
    <n v="2"/>
    <s v="Have Car"/>
    <x v="1"/>
    <x v="0"/>
    <n v="53"/>
    <x v="0"/>
  </r>
  <r>
    <n v="354"/>
    <s v="Single"/>
    <x v="1"/>
    <n v="40000"/>
    <n v="0"/>
    <x v="1"/>
    <x v="4"/>
    <x v="1"/>
    <s v="No"/>
    <n v="0"/>
    <s v="NoCar"/>
    <x v="0"/>
    <x v="0"/>
    <n v="38"/>
    <x v="1"/>
  </r>
  <r>
    <n v="355"/>
    <s v="Single"/>
    <x v="1"/>
    <n v="30000"/>
    <n v="1"/>
    <x v="0"/>
    <x v="0"/>
    <x v="1"/>
    <s v="No"/>
    <n v="1"/>
    <s v="Have Car"/>
    <x v="3"/>
    <x v="0"/>
    <n v="39"/>
    <x v="0"/>
  </r>
  <r>
    <n v="356"/>
    <s v="Single"/>
    <x v="1"/>
    <n v="80000"/>
    <n v="0"/>
    <x v="1"/>
    <x v="0"/>
    <x v="2"/>
    <s v="Yes"/>
    <n v="3"/>
    <s v="Have Car"/>
    <x v="4"/>
    <x v="1"/>
    <n v="32"/>
    <x v="0"/>
  </r>
  <r>
    <n v="357"/>
    <s v="Married"/>
    <x v="0"/>
    <n v="150000"/>
    <n v="3"/>
    <x v="0"/>
    <x v="2"/>
    <x v="2"/>
    <s v="Yes"/>
    <n v="3"/>
    <s v="Have Car"/>
    <x v="0"/>
    <x v="0"/>
    <n v="51"/>
    <x v="1"/>
  </r>
  <r>
    <n v="358"/>
    <s v="Single"/>
    <x v="0"/>
    <n v="10000"/>
    <n v="0"/>
    <x v="1"/>
    <x v="3"/>
    <x v="3"/>
    <s v="Yes"/>
    <n v="2"/>
    <s v="Have Car"/>
    <x v="3"/>
    <x v="0"/>
    <n v="33"/>
    <x v="0"/>
  </r>
  <r>
    <n v="359"/>
    <s v="Married"/>
    <x v="1"/>
    <n v="90000"/>
    <n v="4"/>
    <x v="0"/>
    <x v="2"/>
    <x v="4"/>
    <s v="Yes"/>
    <n v="3"/>
    <s v="Have Car"/>
    <x v="2"/>
    <x v="0"/>
    <n v="58"/>
    <x v="1"/>
  </r>
  <r>
    <n v="360"/>
    <s v="Married"/>
    <x v="1"/>
    <n v="80000"/>
    <n v="0"/>
    <x v="1"/>
    <x v="0"/>
    <x v="2"/>
    <s v="Yes"/>
    <n v="3"/>
    <s v="Have Car"/>
    <x v="4"/>
    <x v="1"/>
    <n v="30"/>
    <x v="0"/>
  </r>
  <r>
    <n v="361"/>
    <s v="Single"/>
    <x v="1"/>
    <n v="130000"/>
    <n v="0"/>
    <x v="1"/>
    <x v="4"/>
    <x v="4"/>
    <s v="Yes"/>
    <n v="0"/>
    <s v="NoCar"/>
    <x v="1"/>
    <x v="1"/>
    <n v="48"/>
    <x v="1"/>
  </r>
  <r>
    <n v="362"/>
    <s v="Single"/>
    <x v="0"/>
    <n v="30000"/>
    <n v="3"/>
    <x v="0"/>
    <x v="1"/>
    <x v="1"/>
    <s v="No"/>
    <n v="2"/>
    <s v="Have Car"/>
    <x v="0"/>
    <x v="0"/>
    <n v="27"/>
    <x v="1"/>
  </r>
  <r>
    <n v="363"/>
    <s v="Married"/>
    <x v="1"/>
    <n v="40000"/>
    <n v="1"/>
    <x v="0"/>
    <x v="0"/>
    <x v="0"/>
    <s v="Yes"/>
    <n v="1"/>
    <s v="Have Car"/>
    <x v="0"/>
    <x v="0"/>
    <n v="33"/>
    <x v="1"/>
  </r>
  <r>
    <n v="364"/>
    <s v="Married"/>
    <x v="0"/>
    <n v="40000"/>
    <n v="2"/>
    <x v="0"/>
    <x v="0"/>
    <x v="4"/>
    <s v="Yes"/>
    <n v="2"/>
    <s v="Have Car"/>
    <x v="0"/>
    <x v="1"/>
    <n v="66"/>
    <x v="1"/>
  </r>
  <r>
    <n v="365"/>
    <s v="Single"/>
    <x v="0"/>
    <n v="10000"/>
    <n v="2"/>
    <x v="0"/>
    <x v="2"/>
    <x v="3"/>
    <s v="Yes"/>
    <n v="1"/>
    <s v="Have Car"/>
    <x v="0"/>
    <x v="0"/>
    <n v="38"/>
    <x v="1"/>
  </r>
  <r>
    <n v="366"/>
    <s v="Single"/>
    <x v="0"/>
    <n v="40000"/>
    <n v="0"/>
    <x v="1"/>
    <x v="0"/>
    <x v="1"/>
    <s v="No"/>
    <n v="0"/>
    <s v="NoCar"/>
    <x v="0"/>
    <x v="0"/>
    <n v="38"/>
    <x v="1"/>
  </r>
  <r>
    <n v="367"/>
    <s v="Married"/>
    <x v="1"/>
    <n v="60000"/>
    <n v="1"/>
    <x v="0"/>
    <x v="1"/>
    <x v="0"/>
    <s v="Yes"/>
    <n v="1"/>
    <s v="Have Car"/>
    <x v="0"/>
    <x v="1"/>
    <n v="45"/>
    <x v="1"/>
  </r>
  <r>
    <n v="368"/>
    <s v="Married"/>
    <x v="0"/>
    <n v="130000"/>
    <n v="3"/>
    <x v="0"/>
    <x v="1"/>
    <x v="2"/>
    <s v="Yes"/>
    <n v="3"/>
    <s v="Have Car"/>
    <x v="2"/>
    <x v="0"/>
    <n v="50"/>
    <x v="1"/>
  </r>
  <r>
    <n v="369"/>
    <s v="Single"/>
    <x v="0"/>
    <n v="30000"/>
    <n v="2"/>
    <x v="0"/>
    <x v="1"/>
    <x v="1"/>
    <s v="No"/>
    <n v="2"/>
    <s v="Have Car"/>
    <x v="2"/>
    <x v="1"/>
    <n v="60"/>
    <x v="1"/>
  </r>
  <r>
    <n v="370"/>
    <s v="Single"/>
    <x v="0"/>
    <n v="20000"/>
    <n v="2"/>
    <x v="0"/>
    <x v="1"/>
    <x v="3"/>
    <s v="No"/>
    <n v="1"/>
    <s v="Have Car"/>
    <x v="0"/>
    <x v="0"/>
    <n v="53"/>
    <x v="1"/>
  </r>
  <r>
    <n v="371"/>
    <s v="Married"/>
    <x v="0"/>
    <n v="100000"/>
    <n v="4"/>
    <x v="0"/>
    <x v="0"/>
    <x v="2"/>
    <s v="Yes"/>
    <n v="1"/>
    <s v="Have Car"/>
    <x v="4"/>
    <x v="1"/>
    <n v="46"/>
    <x v="0"/>
  </r>
  <r>
    <n v="372"/>
    <s v="Single"/>
    <x v="1"/>
    <n v="80000"/>
    <n v="5"/>
    <x v="0"/>
    <x v="4"/>
    <x v="4"/>
    <s v="Yes"/>
    <n v="3"/>
    <s v="Have Car"/>
    <x v="0"/>
    <x v="1"/>
    <n v="50"/>
    <x v="0"/>
  </r>
  <r>
    <n v="373"/>
    <s v="Married"/>
    <x v="1"/>
    <n v="40000"/>
    <n v="1"/>
    <x v="0"/>
    <x v="0"/>
    <x v="0"/>
    <s v="Yes"/>
    <n v="1"/>
    <s v="Have Car"/>
    <x v="0"/>
    <x v="0"/>
    <n v="43"/>
    <x v="1"/>
  </r>
  <r>
    <n v="374"/>
    <s v="Single"/>
    <x v="1"/>
    <n v="20000"/>
    <n v="0"/>
    <x v="1"/>
    <x v="2"/>
    <x v="3"/>
    <s v="No"/>
    <n v="1"/>
    <s v="Have Car"/>
    <x v="1"/>
    <x v="0"/>
    <n v="30"/>
    <x v="0"/>
  </r>
  <r>
    <n v="375"/>
    <s v="Single"/>
    <x v="0"/>
    <n v="80000"/>
    <n v="5"/>
    <x v="0"/>
    <x v="0"/>
    <x v="2"/>
    <s v="Yes"/>
    <n v="4"/>
    <s v="Have Car"/>
    <x v="3"/>
    <x v="1"/>
    <n v="38"/>
    <x v="0"/>
  </r>
  <r>
    <n v="376"/>
    <s v="Married"/>
    <x v="0"/>
    <n v="40000"/>
    <n v="1"/>
    <x v="0"/>
    <x v="0"/>
    <x v="0"/>
    <s v="Yes"/>
    <n v="1"/>
    <s v="Have Car"/>
    <x v="0"/>
    <x v="0"/>
    <n v="89"/>
    <x v="0"/>
  </r>
  <r>
    <n v="377"/>
    <s v="Married"/>
    <x v="1"/>
    <n v="20000"/>
    <n v="1"/>
    <x v="0"/>
    <x v="0"/>
    <x v="1"/>
    <s v="Yes"/>
    <n v="0"/>
    <s v="NoCar"/>
    <x v="0"/>
    <x v="0"/>
    <n v="64"/>
    <x v="1"/>
  </r>
  <r>
    <n v="378"/>
    <s v="Married"/>
    <x v="1"/>
    <n v="130000"/>
    <n v="3"/>
    <x v="0"/>
    <x v="1"/>
    <x v="2"/>
    <s v="No"/>
    <n v="3"/>
    <s v="Have Car"/>
    <x v="2"/>
    <x v="0"/>
    <n v="51"/>
    <x v="1"/>
  </r>
  <r>
    <n v="379"/>
    <s v="Married"/>
    <x v="1"/>
    <n v="30000"/>
    <n v="3"/>
    <x v="0"/>
    <x v="1"/>
    <x v="1"/>
    <s v="No"/>
    <n v="2"/>
    <s v="Have Car"/>
    <x v="2"/>
    <x v="1"/>
    <n v="56"/>
    <x v="0"/>
  </r>
  <r>
    <n v="380"/>
    <s v="Married"/>
    <x v="1"/>
    <n v="60000"/>
    <n v="3"/>
    <x v="0"/>
    <x v="0"/>
    <x v="2"/>
    <s v="Yes"/>
    <n v="2"/>
    <s v="Have Car"/>
    <x v="2"/>
    <x v="1"/>
    <n v="43"/>
    <x v="0"/>
  </r>
  <r>
    <n v="381"/>
    <s v="Single"/>
    <x v="1"/>
    <n v="70000"/>
    <n v="0"/>
    <x v="1"/>
    <x v="0"/>
    <x v="2"/>
    <s v="No"/>
    <n v="3"/>
    <s v="Have Car"/>
    <x v="4"/>
    <x v="1"/>
    <n v="30"/>
    <x v="1"/>
  </r>
  <r>
    <n v="382"/>
    <s v="Married"/>
    <x v="0"/>
    <n v="30000"/>
    <n v="2"/>
    <x v="0"/>
    <x v="1"/>
    <x v="1"/>
    <s v="Yes"/>
    <n v="2"/>
    <s v="Have Car"/>
    <x v="2"/>
    <x v="1"/>
    <n v="69"/>
    <x v="0"/>
  </r>
  <r>
    <n v="383"/>
    <s v="Married"/>
    <x v="1"/>
    <n v="80000"/>
    <n v="4"/>
    <x v="0"/>
    <x v="1"/>
    <x v="2"/>
    <s v="Yes"/>
    <n v="2"/>
    <s v="Have Car"/>
    <x v="4"/>
    <x v="0"/>
    <n v="53"/>
    <x v="0"/>
  </r>
  <r>
    <n v="384"/>
    <s v="Married"/>
    <x v="1"/>
    <n v="40000"/>
    <n v="0"/>
    <x v="1"/>
    <x v="4"/>
    <x v="1"/>
    <s v="Yes"/>
    <n v="0"/>
    <s v="NoCar"/>
    <x v="0"/>
    <x v="0"/>
    <n v="37"/>
    <x v="1"/>
  </r>
  <r>
    <n v="385"/>
    <s v="Single"/>
    <x v="0"/>
    <n v="10000"/>
    <n v="0"/>
    <x v="1"/>
    <x v="1"/>
    <x v="3"/>
    <s v="No"/>
    <n v="1"/>
    <s v="Have Car"/>
    <x v="0"/>
    <x v="1"/>
    <n v="28"/>
    <x v="1"/>
  </r>
  <r>
    <n v="386"/>
    <s v="Single"/>
    <x v="1"/>
    <n v="30000"/>
    <n v="3"/>
    <x v="0"/>
    <x v="1"/>
    <x v="1"/>
    <s v="Yes"/>
    <n v="0"/>
    <s v="NoCar"/>
    <x v="0"/>
    <x v="0"/>
    <n v="43"/>
    <x v="0"/>
  </r>
  <r>
    <n v="387"/>
    <s v="Single"/>
    <x v="0"/>
    <n v="120000"/>
    <n v="0"/>
    <x v="1"/>
    <x v="3"/>
    <x v="2"/>
    <s v="Yes"/>
    <n v="4"/>
    <s v="Have Car"/>
    <x v="4"/>
    <x v="1"/>
    <n v="34"/>
    <x v="1"/>
  </r>
  <r>
    <n v="388"/>
    <s v="Single"/>
    <x v="0"/>
    <n v="20000"/>
    <n v="0"/>
    <x v="1"/>
    <x v="3"/>
    <x v="3"/>
    <s v="No"/>
    <n v="2"/>
    <s v="Have Car"/>
    <x v="3"/>
    <x v="0"/>
    <n v="34"/>
    <x v="1"/>
  </r>
  <r>
    <n v="389"/>
    <s v="Married"/>
    <x v="0"/>
    <n v="30000"/>
    <n v="1"/>
    <x v="0"/>
    <x v="0"/>
    <x v="1"/>
    <s v="Yes"/>
    <n v="0"/>
    <s v="NoCar"/>
    <x v="0"/>
    <x v="0"/>
    <n v="64"/>
    <x v="0"/>
  </r>
  <r>
    <n v="390"/>
    <s v="Married"/>
    <x v="0"/>
    <n v="80000"/>
    <n v="0"/>
    <x v="1"/>
    <x v="0"/>
    <x v="2"/>
    <s v="Yes"/>
    <n v="1"/>
    <s v="Have Car"/>
    <x v="3"/>
    <x v="1"/>
    <n v="41"/>
    <x v="1"/>
  </r>
  <r>
    <n v="391"/>
    <s v="Single"/>
    <x v="1"/>
    <n v="70000"/>
    <n v="0"/>
    <x v="1"/>
    <x v="0"/>
    <x v="2"/>
    <s v="No"/>
    <n v="1"/>
    <s v="Have Car"/>
    <x v="2"/>
    <x v="1"/>
    <n v="38"/>
    <x v="0"/>
  </r>
  <r>
    <n v="392"/>
    <s v="Single"/>
    <x v="0"/>
    <n v="70000"/>
    <n v="0"/>
    <x v="1"/>
    <x v="0"/>
    <x v="2"/>
    <s v="No"/>
    <n v="1"/>
    <s v="Have Car"/>
    <x v="0"/>
    <x v="1"/>
    <n v="41"/>
    <x v="1"/>
  </r>
  <r>
    <n v="393"/>
    <s v="Single"/>
    <x v="1"/>
    <n v="20000"/>
    <n v="1"/>
    <x v="0"/>
    <x v="0"/>
    <x v="1"/>
    <s v="No"/>
    <n v="0"/>
    <s v="NoCar"/>
    <x v="0"/>
    <x v="0"/>
    <n v="51"/>
    <x v="0"/>
  </r>
  <r>
    <n v="394"/>
    <s v="Married"/>
    <x v="0"/>
    <n v="10000"/>
    <n v="0"/>
    <x v="1"/>
    <x v="3"/>
    <x v="3"/>
    <s v="Yes"/>
    <n v="2"/>
    <s v="Have Car"/>
    <x v="3"/>
    <x v="0"/>
    <n v="32"/>
    <x v="0"/>
  </r>
  <r>
    <n v="395"/>
    <s v="Married"/>
    <x v="0"/>
    <n v="40000"/>
    <n v="0"/>
    <x v="1"/>
    <x v="0"/>
    <x v="1"/>
    <s v="Yes"/>
    <n v="0"/>
    <s v="NoCar"/>
    <x v="0"/>
    <x v="0"/>
    <n v="38"/>
    <x v="1"/>
  </r>
  <r>
    <n v="396"/>
    <s v="Married"/>
    <x v="1"/>
    <n v="30000"/>
    <n v="1"/>
    <x v="0"/>
    <x v="0"/>
    <x v="1"/>
    <s v="Yes"/>
    <n v="0"/>
    <s v="NoCar"/>
    <x v="0"/>
    <x v="0"/>
    <n v="38"/>
    <x v="1"/>
  </r>
  <r>
    <n v="397"/>
    <s v="Single"/>
    <x v="1"/>
    <n v="60000"/>
    <n v="2"/>
    <x v="0"/>
    <x v="0"/>
    <x v="2"/>
    <s v="Yes"/>
    <n v="1"/>
    <s v="Have Car"/>
    <x v="1"/>
    <x v="1"/>
    <n v="38"/>
    <x v="1"/>
  </r>
  <r>
    <n v="398"/>
    <s v="Married"/>
    <x v="0"/>
    <n v="10000"/>
    <n v="2"/>
    <x v="0"/>
    <x v="3"/>
    <x v="1"/>
    <s v="Yes"/>
    <n v="2"/>
    <s v="Have Car"/>
    <x v="2"/>
    <x v="1"/>
    <n v="58"/>
    <x v="0"/>
  </r>
  <r>
    <n v="399"/>
    <s v="Single"/>
    <x v="1"/>
    <n v="30000"/>
    <n v="1"/>
    <x v="0"/>
    <x v="0"/>
    <x v="1"/>
    <s v="Yes"/>
    <n v="1"/>
    <s v="Have Car"/>
    <x v="3"/>
    <x v="0"/>
    <n v="39"/>
    <x v="1"/>
  </r>
  <r>
    <n v="400"/>
    <s v="Single"/>
    <x v="0"/>
    <n v="40000"/>
    <n v="2"/>
    <x v="0"/>
    <x v="0"/>
    <x v="4"/>
    <s v="No"/>
    <n v="1"/>
    <s v="Have Car"/>
    <x v="2"/>
    <x v="1"/>
    <n v="53"/>
    <x v="1"/>
  </r>
  <r>
    <n v="401"/>
    <s v="Single"/>
    <x v="0"/>
    <n v="110000"/>
    <n v="3"/>
    <x v="0"/>
    <x v="0"/>
    <x v="4"/>
    <s v="Yes"/>
    <n v="4"/>
    <s v="Have Car"/>
    <x v="4"/>
    <x v="0"/>
    <n v="53"/>
    <x v="0"/>
  </r>
  <r>
    <n v="402"/>
    <s v="Married"/>
    <x v="0"/>
    <n v="40000"/>
    <n v="1"/>
    <x v="0"/>
    <x v="0"/>
    <x v="1"/>
    <s v="Yes"/>
    <n v="0"/>
    <s v="NoCar"/>
    <x v="0"/>
    <x v="0"/>
    <n v="80"/>
    <x v="0"/>
  </r>
  <r>
    <n v="403"/>
    <s v="Married"/>
    <x v="1"/>
    <n v="10000"/>
    <n v="1"/>
    <x v="0"/>
    <x v="4"/>
    <x v="3"/>
    <s v="Yes"/>
    <n v="0"/>
    <s v="NoCar"/>
    <x v="0"/>
    <x v="0"/>
    <n v="44"/>
    <x v="0"/>
  </r>
  <r>
    <n v="404"/>
    <s v="Married"/>
    <x v="1"/>
    <n v="20000"/>
    <n v="1"/>
    <x v="0"/>
    <x v="4"/>
    <x v="1"/>
    <s v="Yes"/>
    <n v="0"/>
    <s v="NoCar"/>
    <x v="0"/>
    <x v="0"/>
    <n v="44"/>
    <x v="0"/>
  </r>
  <r>
    <n v="405"/>
    <s v="Married"/>
    <x v="1"/>
    <n v="30000"/>
    <n v="3"/>
    <x v="0"/>
    <x v="2"/>
    <x v="0"/>
    <s v="Yes"/>
    <n v="2"/>
    <s v="Have Car"/>
    <x v="2"/>
    <x v="1"/>
    <n v="54"/>
    <x v="1"/>
  </r>
  <r>
    <n v="406"/>
    <s v="Married"/>
    <x v="0"/>
    <n v="30000"/>
    <n v="0"/>
    <x v="1"/>
    <x v="0"/>
    <x v="1"/>
    <s v="Yes"/>
    <n v="0"/>
    <s v="NoCar"/>
    <x v="0"/>
    <x v="0"/>
    <n v="37"/>
    <x v="1"/>
  </r>
  <r>
    <n v="407"/>
    <s v="Married"/>
    <x v="0"/>
    <n v="40000"/>
    <n v="1"/>
    <x v="0"/>
    <x v="0"/>
    <x v="0"/>
    <s v="Yes"/>
    <n v="0"/>
    <s v="NoCar"/>
    <x v="0"/>
    <x v="0"/>
    <n v="41"/>
    <x v="0"/>
  </r>
  <r>
    <n v="408"/>
    <s v="Single"/>
    <x v="0"/>
    <n v="90000"/>
    <n v="2"/>
    <x v="0"/>
    <x v="0"/>
    <x v="2"/>
    <s v="No"/>
    <n v="0"/>
    <s v="NoCar"/>
    <x v="0"/>
    <x v="1"/>
    <n v="36"/>
    <x v="1"/>
  </r>
  <r>
    <n v="409"/>
    <s v="Single"/>
    <x v="0"/>
    <n v="40000"/>
    <n v="2"/>
    <x v="0"/>
    <x v="1"/>
    <x v="1"/>
    <s v="Yes"/>
    <n v="0"/>
    <s v="NoCar"/>
    <x v="0"/>
    <x v="0"/>
    <n v="33"/>
    <x v="0"/>
  </r>
  <r>
    <n v="410"/>
    <s v="Married"/>
    <x v="0"/>
    <n v="130000"/>
    <n v="3"/>
    <x v="0"/>
    <x v="1"/>
    <x v="2"/>
    <s v="Yes"/>
    <n v="4"/>
    <s v="Have Car"/>
    <x v="0"/>
    <x v="0"/>
    <n v="52"/>
    <x v="0"/>
  </r>
  <r>
    <n v="411"/>
    <s v="Married"/>
    <x v="0"/>
    <n v="20000"/>
    <n v="2"/>
    <x v="0"/>
    <x v="1"/>
    <x v="3"/>
    <s v="Yes"/>
    <n v="1"/>
    <s v="Have Car"/>
    <x v="0"/>
    <x v="0"/>
    <n v="46"/>
    <x v="1"/>
  </r>
  <r>
    <n v="412"/>
    <s v="Married"/>
    <x v="1"/>
    <n v="70000"/>
    <n v="5"/>
    <x v="0"/>
    <x v="1"/>
    <x v="0"/>
    <s v="Yes"/>
    <n v="2"/>
    <s v="Have Car"/>
    <x v="2"/>
    <x v="1"/>
    <n v="43"/>
    <x v="0"/>
  </r>
  <r>
    <n v="413"/>
    <s v="Single"/>
    <x v="1"/>
    <n v="40000"/>
    <n v="2"/>
    <x v="0"/>
    <x v="1"/>
    <x v="1"/>
    <s v="Yes"/>
    <n v="0"/>
    <s v="NoCar"/>
    <x v="0"/>
    <x v="0"/>
    <n v="34"/>
    <x v="0"/>
  </r>
  <r>
    <n v="414"/>
    <s v="Single"/>
    <x v="0"/>
    <n v="30000"/>
    <n v="2"/>
    <x v="0"/>
    <x v="1"/>
    <x v="1"/>
    <s v="No"/>
    <n v="2"/>
    <s v="Have Car"/>
    <x v="2"/>
    <x v="1"/>
    <n v="67"/>
    <x v="0"/>
  </r>
  <r>
    <n v="415"/>
    <s v="Married"/>
    <x v="0"/>
    <n v="40000"/>
    <n v="0"/>
    <x v="1"/>
    <x v="4"/>
    <x v="1"/>
    <s v="Yes"/>
    <n v="0"/>
    <s v="NoCar"/>
    <x v="0"/>
    <x v="0"/>
    <n v="35"/>
    <x v="1"/>
  </r>
  <r>
    <n v="416"/>
    <s v="Married"/>
    <x v="0"/>
    <n v="80000"/>
    <n v="5"/>
    <x v="0"/>
    <x v="4"/>
    <x v="4"/>
    <s v="Yes"/>
    <n v="3"/>
    <s v="Have Car"/>
    <x v="0"/>
    <x v="1"/>
    <n v="40"/>
    <x v="0"/>
  </r>
  <r>
    <n v="417"/>
    <s v="Single"/>
    <x v="1"/>
    <n v="60000"/>
    <n v="2"/>
    <x v="0"/>
    <x v="0"/>
    <x v="2"/>
    <s v="No"/>
    <n v="1"/>
    <s v="Have Car"/>
    <x v="0"/>
    <x v="1"/>
    <n v="37"/>
    <x v="1"/>
  </r>
  <r>
    <n v="418"/>
    <s v="Single"/>
    <x v="0"/>
    <n v="30000"/>
    <n v="2"/>
    <x v="0"/>
    <x v="1"/>
    <x v="1"/>
    <s v="No"/>
    <n v="2"/>
    <s v="Have Car"/>
    <x v="2"/>
    <x v="1"/>
    <n v="67"/>
    <x v="0"/>
  </r>
  <r>
    <n v="419"/>
    <s v="Married"/>
    <x v="1"/>
    <n v="30000"/>
    <n v="1"/>
    <x v="0"/>
    <x v="0"/>
    <x v="0"/>
    <s v="Yes"/>
    <n v="2"/>
    <s v="Have Car"/>
    <x v="0"/>
    <x v="0"/>
    <n v="41"/>
    <x v="1"/>
  </r>
  <r>
    <n v="420"/>
    <s v="Single"/>
    <x v="1"/>
    <n v="10000"/>
    <n v="2"/>
    <x v="0"/>
    <x v="1"/>
    <x v="3"/>
    <s v="Yes"/>
    <n v="1"/>
    <s v="Have Car"/>
    <x v="0"/>
    <x v="0"/>
    <n v="51"/>
    <x v="1"/>
  </r>
  <r>
    <n v="421"/>
    <s v="Married"/>
    <x v="0"/>
    <n v="100000"/>
    <n v="2"/>
    <x v="0"/>
    <x v="0"/>
    <x v="4"/>
    <s v="Yes"/>
    <n v="4"/>
    <s v="Have Car"/>
    <x v="4"/>
    <x v="0"/>
    <n v="59"/>
    <x v="0"/>
  </r>
  <r>
    <n v="422"/>
    <s v="Married"/>
    <x v="1"/>
    <n v="10000"/>
    <n v="2"/>
    <x v="0"/>
    <x v="1"/>
    <x v="3"/>
    <s v="Yes"/>
    <n v="0"/>
    <s v="NoCar"/>
    <x v="3"/>
    <x v="0"/>
    <n v="51"/>
    <x v="0"/>
  </r>
  <r>
    <n v="423"/>
    <s v="Single"/>
    <x v="1"/>
    <n v="110000"/>
    <n v="0"/>
    <x v="1"/>
    <x v="1"/>
    <x v="4"/>
    <s v="No"/>
    <n v="3"/>
    <s v="Have Car"/>
    <x v="4"/>
    <x v="1"/>
    <n v="32"/>
    <x v="1"/>
  </r>
  <r>
    <n v="424"/>
    <s v="Single"/>
    <x v="1"/>
    <n v="30000"/>
    <n v="0"/>
    <x v="1"/>
    <x v="2"/>
    <x v="3"/>
    <s v="Yes"/>
    <n v="1"/>
    <s v="Have Car"/>
    <x v="1"/>
    <x v="0"/>
    <n v="34"/>
    <x v="1"/>
  </r>
  <r>
    <n v="425"/>
    <s v="Single"/>
    <x v="0"/>
    <n v="10000"/>
    <n v="3"/>
    <x v="0"/>
    <x v="3"/>
    <x v="3"/>
    <s v="Yes"/>
    <n v="2"/>
    <s v="Have Car"/>
    <x v="0"/>
    <x v="0"/>
    <n v="43"/>
    <x v="0"/>
  </r>
  <r>
    <n v="426"/>
    <s v="Married"/>
    <x v="1"/>
    <n v="40000"/>
    <n v="2"/>
    <x v="0"/>
    <x v="0"/>
    <x v="4"/>
    <s v="Yes"/>
    <n v="2"/>
    <s v="Have Car"/>
    <x v="0"/>
    <x v="1"/>
    <n v="67"/>
    <x v="0"/>
  </r>
  <r>
    <n v="427"/>
    <s v="Single"/>
    <x v="1"/>
    <n v="30000"/>
    <n v="0"/>
    <x v="1"/>
    <x v="1"/>
    <x v="1"/>
    <s v="No"/>
    <n v="1"/>
    <s v="Have Car"/>
    <x v="1"/>
    <x v="0"/>
    <n v="28"/>
    <x v="0"/>
  </r>
  <r>
    <n v="428"/>
    <s v="Single"/>
    <x v="0"/>
    <n v="90000"/>
    <n v="1"/>
    <x v="0"/>
    <x v="4"/>
    <x v="4"/>
    <s v="Yes"/>
    <n v="0"/>
    <s v="NoCar"/>
    <x v="0"/>
    <x v="1"/>
    <n v="36"/>
    <x v="1"/>
  </r>
  <r>
    <n v="429"/>
    <s v="Married"/>
    <x v="1"/>
    <n v="110000"/>
    <n v="4"/>
    <x v="0"/>
    <x v="0"/>
    <x v="4"/>
    <s v="Yes"/>
    <n v="3"/>
    <s v="Have Car"/>
    <x v="1"/>
    <x v="1"/>
    <n v="48"/>
    <x v="0"/>
  </r>
  <r>
    <n v="430"/>
    <s v="Single"/>
    <x v="0"/>
    <n v="30000"/>
    <n v="0"/>
    <x v="1"/>
    <x v="1"/>
    <x v="1"/>
    <s v="Yes"/>
    <n v="1"/>
    <s v="Have Car"/>
    <x v="1"/>
    <x v="0"/>
    <n v="31"/>
    <x v="0"/>
  </r>
  <r>
    <n v="431"/>
    <s v="Single"/>
    <x v="0"/>
    <n v="30000"/>
    <n v="3"/>
    <x v="0"/>
    <x v="2"/>
    <x v="0"/>
    <s v="Yes"/>
    <n v="2"/>
    <s v="Have Car"/>
    <x v="2"/>
    <x v="1"/>
    <n v="55"/>
    <x v="0"/>
  </r>
  <r>
    <n v="432"/>
    <s v="Single"/>
    <x v="1"/>
    <n v="20000"/>
    <n v="0"/>
    <x v="1"/>
    <x v="1"/>
    <x v="3"/>
    <s v="Yes"/>
    <n v="0"/>
    <s v="NoCar"/>
    <x v="0"/>
    <x v="1"/>
    <n v="28"/>
    <x v="1"/>
  </r>
  <r>
    <n v="433"/>
    <s v="Married"/>
    <x v="0"/>
    <n v="110000"/>
    <n v="0"/>
    <x v="1"/>
    <x v="2"/>
    <x v="4"/>
    <s v="Yes"/>
    <n v="3"/>
    <s v="Have Car"/>
    <x v="4"/>
    <x v="1"/>
    <n v="34"/>
    <x v="1"/>
  </r>
  <r>
    <n v="434"/>
    <s v="Single"/>
    <x v="0"/>
    <n v="30000"/>
    <n v="3"/>
    <x v="0"/>
    <x v="1"/>
    <x v="1"/>
    <s v="No"/>
    <n v="1"/>
    <s v="Have Car"/>
    <x v="0"/>
    <x v="0"/>
    <n v="26"/>
    <x v="0"/>
  </r>
  <r>
    <n v="435"/>
    <s v="Married"/>
    <x v="0"/>
    <n v="30000"/>
    <n v="3"/>
    <x v="0"/>
    <x v="2"/>
    <x v="0"/>
    <s v="Yes"/>
    <n v="2"/>
    <s v="Have Car"/>
    <x v="2"/>
    <x v="1"/>
    <n v="53"/>
    <x v="1"/>
  </r>
  <r>
    <n v="436"/>
    <s v="Single"/>
    <x v="0"/>
    <n v="10000"/>
    <n v="2"/>
    <x v="0"/>
    <x v="0"/>
    <x v="1"/>
    <s v="No"/>
    <n v="1"/>
    <s v="Have Car"/>
    <x v="1"/>
    <x v="0"/>
    <n v="68"/>
    <x v="0"/>
  </r>
  <r>
    <n v="437"/>
    <s v="Married"/>
    <x v="0"/>
    <n v="80000"/>
    <n v="2"/>
    <x v="0"/>
    <x v="2"/>
    <x v="0"/>
    <s v="Yes"/>
    <n v="2"/>
    <s v="Have Car"/>
    <x v="2"/>
    <x v="1"/>
    <n v="50"/>
    <x v="1"/>
  </r>
  <r>
    <n v="438"/>
    <s v="Single"/>
    <x v="0"/>
    <n v="30000"/>
    <n v="3"/>
    <x v="0"/>
    <x v="1"/>
    <x v="1"/>
    <s v="Yes"/>
    <n v="2"/>
    <s v="Have Car"/>
    <x v="0"/>
    <x v="0"/>
    <n v="28"/>
    <x v="1"/>
  </r>
  <r>
    <n v="439"/>
    <s v="Single"/>
    <x v="0"/>
    <n v="80000"/>
    <n v="0"/>
    <x v="1"/>
    <x v="4"/>
    <x v="0"/>
    <s v="No"/>
    <n v="0"/>
    <s v="NoCar"/>
    <x v="0"/>
    <x v="0"/>
    <n v="40"/>
    <x v="1"/>
  </r>
  <r>
    <n v="440"/>
    <s v="Married"/>
    <x v="1"/>
    <n v="70000"/>
    <n v="5"/>
    <x v="0"/>
    <x v="1"/>
    <x v="0"/>
    <s v="Yes"/>
    <n v="2"/>
    <s v="Have Car"/>
    <x v="0"/>
    <x v="1"/>
    <n v="44"/>
    <x v="0"/>
  </r>
  <r>
    <n v="441"/>
    <s v="Single"/>
    <x v="1"/>
    <n v="90000"/>
    <n v="0"/>
    <x v="1"/>
    <x v="0"/>
    <x v="2"/>
    <s v="No"/>
    <n v="3"/>
    <s v="Have Car"/>
    <x v="4"/>
    <x v="1"/>
    <n v="34"/>
    <x v="1"/>
  </r>
  <r>
    <n v="442"/>
    <s v="Married"/>
    <x v="1"/>
    <n v="70000"/>
    <n v="2"/>
    <x v="0"/>
    <x v="1"/>
    <x v="0"/>
    <s v="Yes"/>
    <n v="2"/>
    <s v="Have Car"/>
    <x v="2"/>
    <x v="1"/>
    <n v="52"/>
    <x v="1"/>
  </r>
  <r>
    <n v="443"/>
    <s v="Single"/>
    <x v="1"/>
    <n v="80000"/>
    <n v="4"/>
    <x v="0"/>
    <x v="4"/>
    <x v="4"/>
    <s v="Yes"/>
    <n v="0"/>
    <s v="NoCar"/>
    <x v="0"/>
    <x v="1"/>
    <n v="36"/>
    <x v="1"/>
  </r>
  <r>
    <n v="444"/>
    <s v="Married"/>
    <x v="0"/>
    <n v="40000"/>
    <n v="1"/>
    <x v="0"/>
    <x v="0"/>
    <x v="0"/>
    <s v="Yes"/>
    <n v="1"/>
    <s v="Have Car"/>
    <x v="0"/>
    <x v="0"/>
    <n v="43"/>
    <x v="1"/>
  </r>
  <r>
    <n v="445"/>
    <s v="Single"/>
    <x v="1"/>
    <n v="30000"/>
    <n v="0"/>
    <x v="1"/>
    <x v="2"/>
    <x v="3"/>
    <s v="No"/>
    <n v="1"/>
    <s v="Have Car"/>
    <x v="3"/>
    <x v="0"/>
    <n v="32"/>
    <x v="0"/>
  </r>
  <r>
    <n v="446"/>
    <s v="Married"/>
    <x v="0"/>
    <n v="40000"/>
    <n v="1"/>
    <x v="0"/>
    <x v="0"/>
    <x v="0"/>
    <s v="Yes"/>
    <n v="1"/>
    <s v="Have Car"/>
    <x v="3"/>
    <x v="0"/>
    <n v="32"/>
    <x v="1"/>
  </r>
  <r>
    <n v="447"/>
    <s v="Married"/>
    <x v="0"/>
    <n v="130000"/>
    <n v="0"/>
    <x v="1"/>
    <x v="4"/>
    <x v="4"/>
    <s v="Yes"/>
    <n v="1"/>
    <s v="Have Car"/>
    <x v="4"/>
    <x v="1"/>
    <n v="48"/>
    <x v="0"/>
  </r>
  <r>
    <n v="448"/>
    <s v="Married"/>
    <x v="0"/>
    <n v="40000"/>
    <n v="1"/>
    <x v="0"/>
    <x v="0"/>
    <x v="0"/>
    <s v="Yes"/>
    <n v="0"/>
    <s v="NoCar"/>
    <x v="3"/>
    <x v="0"/>
    <n v="32"/>
    <x v="1"/>
  </r>
  <r>
    <n v="449"/>
    <s v="Married"/>
    <x v="0"/>
    <n v="30000"/>
    <n v="3"/>
    <x v="0"/>
    <x v="4"/>
    <x v="1"/>
    <s v="Yes"/>
    <n v="0"/>
    <s v="NoCar"/>
    <x v="0"/>
    <x v="0"/>
    <n v="46"/>
    <x v="0"/>
  </r>
  <r>
    <n v="450"/>
    <s v="Married"/>
    <x v="0"/>
    <n v="40000"/>
    <n v="1"/>
    <x v="0"/>
    <x v="0"/>
    <x v="0"/>
    <s v="Yes"/>
    <n v="0"/>
    <s v="NoCar"/>
    <x v="0"/>
    <x v="0"/>
    <n v="42"/>
    <x v="0"/>
  </r>
  <r>
    <n v="451"/>
    <s v="Single"/>
    <x v="0"/>
    <n v="10000"/>
    <n v="2"/>
    <x v="0"/>
    <x v="2"/>
    <x v="3"/>
    <s v="Yes"/>
    <n v="0"/>
    <s v="NoCar"/>
    <x v="0"/>
    <x v="0"/>
    <n v="36"/>
    <x v="1"/>
  </r>
  <r>
    <n v="452"/>
    <s v="Married"/>
    <x v="0"/>
    <n v="40000"/>
    <n v="1"/>
    <x v="0"/>
    <x v="0"/>
    <x v="0"/>
    <s v="Yes"/>
    <n v="0"/>
    <s v="NoCar"/>
    <x v="0"/>
    <x v="0"/>
    <n v="41"/>
    <x v="0"/>
  </r>
  <r>
    <n v="453"/>
    <s v="Married"/>
    <x v="0"/>
    <n v="30000"/>
    <n v="2"/>
    <x v="0"/>
    <x v="1"/>
    <x v="1"/>
    <s v="No"/>
    <n v="2"/>
    <s v="Have Car"/>
    <x v="0"/>
    <x v="1"/>
    <n v="69"/>
    <x v="0"/>
  </r>
  <r>
    <n v="454"/>
    <s v="Single"/>
    <x v="0"/>
    <n v="70000"/>
    <n v="5"/>
    <x v="0"/>
    <x v="1"/>
    <x v="0"/>
    <s v="Yes"/>
    <n v="2"/>
    <s v="Have Car"/>
    <x v="2"/>
    <x v="1"/>
    <n v="45"/>
    <x v="0"/>
  </r>
  <r>
    <n v="455"/>
    <s v="Single"/>
    <x v="1"/>
    <n v="30000"/>
    <n v="0"/>
    <x v="1"/>
    <x v="2"/>
    <x v="3"/>
    <s v="No"/>
    <n v="1"/>
    <s v="Have Car"/>
    <x v="1"/>
    <x v="0"/>
    <n v="34"/>
    <x v="0"/>
  </r>
  <r>
    <n v="456"/>
    <s v="Married"/>
    <x v="0"/>
    <n v="80000"/>
    <n v="4"/>
    <x v="0"/>
    <x v="1"/>
    <x v="2"/>
    <s v="No"/>
    <n v="1"/>
    <s v="Have Car"/>
    <x v="1"/>
    <x v="0"/>
    <n v="53"/>
    <x v="1"/>
  </r>
  <r>
    <n v="457"/>
    <s v="Single"/>
    <x v="1"/>
    <n v="120000"/>
    <n v="3"/>
    <x v="0"/>
    <x v="2"/>
    <x v="2"/>
    <s v="No"/>
    <n v="4"/>
    <s v="Have Car"/>
    <x v="2"/>
    <x v="0"/>
    <n v="50"/>
    <x v="0"/>
  </r>
  <r>
    <n v="458"/>
    <s v="Married"/>
    <x v="0"/>
    <n v="20000"/>
    <n v="1"/>
    <x v="0"/>
    <x v="1"/>
    <x v="3"/>
    <s v="Yes"/>
    <n v="0"/>
    <s v="NoCar"/>
    <x v="0"/>
    <x v="0"/>
    <n v="65"/>
    <x v="0"/>
  </r>
  <r>
    <n v="459"/>
    <s v="Married"/>
    <x v="1"/>
    <n v="120000"/>
    <n v="0"/>
    <x v="1"/>
    <x v="3"/>
    <x v="2"/>
    <s v="Yes"/>
    <n v="4"/>
    <s v="Have Car"/>
    <x v="4"/>
    <x v="1"/>
    <n v="32"/>
    <x v="1"/>
  </r>
  <r>
    <n v="460"/>
    <s v="Single"/>
    <x v="0"/>
    <n v="80000"/>
    <n v="0"/>
    <x v="1"/>
    <x v="0"/>
    <x v="2"/>
    <s v="No"/>
    <n v="3"/>
    <s v="Have Car"/>
    <x v="4"/>
    <x v="1"/>
    <n v="33"/>
    <x v="0"/>
  </r>
  <r>
    <n v="461"/>
    <s v="Single"/>
    <x v="1"/>
    <n v="20000"/>
    <n v="0"/>
    <x v="1"/>
    <x v="3"/>
    <x v="3"/>
    <s v="Yes"/>
    <n v="2"/>
    <s v="Have Car"/>
    <x v="3"/>
    <x v="0"/>
    <n v="31"/>
    <x v="1"/>
  </r>
  <r>
    <n v="462"/>
    <s v="Married"/>
    <x v="0"/>
    <n v="120000"/>
    <n v="1"/>
    <x v="0"/>
    <x v="0"/>
    <x v="4"/>
    <s v="Yes"/>
    <n v="2"/>
    <s v="Have Car"/>
    <x v="0"/>
    <x v="1"/>
    <n v="46"/>
    <x v="1"/>
  </r>
  <r>
    <n v="463"/>
    <s v="Married"/>
    <x v="0"/>
    <n v="40000"/>
    <n v="0"/>
    <x v="1"/>
    <x v="0"/>
    <x v="1"/>
    <s v="Yes"/>
    <n v="0"/>
    <s v="NoCar"/>
    <x v="0"/>
    <x v="0"/>
    <n v="39"/>
    <x v="1"/>
  </r>
  <r>
    <n v="464"/>
    <s v="Single"/>
    <x v="1"/>
    <n v="20000"/>
    <n v="2"/>
    <x v="0"/>
    <x v="2"/>
    <x v="3"/>
    <s v="Yes"/>
    <n v="1"/>
    <s v="Have Car"/>
    <x v="0"/>
    <x v="0"/>
    <n v="40"/>
    <x v="0"/>
  </r>
  <r>
    <n v="465"/>
    <s v="Single"/>
    <x v="0"/>
    <n v="30000"/>
    <n v="3"/>
    <x v="0"/>
    <x v="0"/>
    <x v="1"/>
    <s v="Yes"/>
    <n v="0"/>
    <s v="NoCar"/>
    <x v="0"/>
    <x v="0"/>
    <n v="46"/>
    <x v="1"/>
  </r>
  <r>
    <n v="466"/>
    <s v="Married"/>
    <x v="1"/>
    <n v="40000"/>
    <n v="2"/>
    <x v="0"/>
    <x v="0"/>
    <x v="4"/>
    <s v="Yes"/>
    <n v="2"/>
    <s v="Have Car"/>
    <x v="0"/>
    <x v="1"/>
    <n v="65"/>
    <x v="0"/>
  </r>
  <r>
    <n v="467"/>
    <s v="Single"/>
    <x v="0"/>
    <n v="30000"/>
    <n v="3"/>
    <x v="0"/>
    <x v="0"/>
    <x v="1"/>
    <s v="Yes"/>
    <n v="0"/>
    <s v="NoCar"/>
    <x v="0"/>
    <x v="0"/>
    <n v="47"/>
    <x v="1"/>
  </r>
  <r>
    <n v="468"/>
    <s v="Single"/>
    <x v="1"/>
    <n v="100000"/>
    <n v="1"/>
    <x v="0"/>
    <x v="0"/>
    <x v="4"/>
    <s v="No"/>
    <n v="3"/>
    <s v="Have Car"/>
    <x v="0"/>
    <x v="1"/>
    <n v="46"/>
    <x v="1"/>
  </r>
  <r>
    <n v="469"/>
    <s v="Married"/>
    <x v="0"/>
    <n v="80000"/>
    <n v="5"/>
    <x v="0"/>
    <x v="4"/>
    <x v="4"/>
    <s v="Yes"/>
    <n v="3"/>
    <s v="Have Car"/>
    <x v="0"/>
    <x v="1"/>
    <n v="40"/>
    <x v="0"/>
  </r>
  <r>
    <n v="470"/>
    <s v="Married"/>
    <x v="0"/>
    <n v="30000"/>
    <n v="1"/>
    <x v="0"/>
    <x v="0"/>
    <x v="1"/>
    <s v="Yes"/>
    <n v="0"/>
    <s v="NoCar"/>
    <x v="0"/>
    <x v="0"/>
    <n v="65"/>
    <x v="0"/>
  </r>
  <r>
    <n v="471"/>
    <s v="Single"/>
    <x v="1"/>
    <n v="30000"/>
    <n v="0"/>
    <x v="1"/>
    <x v="2"/>
    <x v="3"/>
    <s v="No"/>
    <n v="1"/>
    <s v="Have Car"/>
    <x v="3"/>
    <x v="0"/>
    <n v="28"/>
    <x v="0"/>
  </r>
  <r>
    <n v="472"/>
    <s v="Single"/>
    <x v="1"/>
    <n v="70000"/>
    <n v="0"/>
    <x v="1"/>
    <x v="0"/>
    <x v="2"/>
    <s v="No"/>
    <n v="2"/>
    <s v="Have Car"/>
    <x v="2"/>
    <x v="1"/>
    <n v="43"/>
    <x v="1"/>
  </r>
  <r>
    <n v="473"/>
    <s v="Single"/>
    <x v="0"/>
    <n v="40000"/>
    <n v="0"/>
    <x v="1"/>
    <x v="4"/>
    <x v="1"/>
    <s v="Yes"/>
    <n v="0"/>
    <s v="NoCar"/>
    <x v="0"/>
    <x v="0"/>
    <n v="38"/>
    <x v="1"/>
  </r>
  <r>
    <n v="474"/>
    <s v="Married"/>
    <x v="0"/>
    <n v="30000"/>
    <n v="0"/>
    <x v="1"/>
    <x v="0"/>
    <x v="1"/>
    <s v="Yes"/>
    <n v="0"/>
    <s v="NoCar"/>
    <x v="0"/>
    <x v="0"/>
    <n v="47"/>
    <x v="1"/>
  </r>
  <r>
    <n v="475"/>
    <s v="Married"/>
    <x v="0"/>
    <n v="90000"/>
    <n v="2"/>
    <x v="0"/>
    <x v="0"/>
    <x v="2"/>
    <s v="No"/>
    <n v="0"/>
    <s v="NoCar"/>
    <x v="0"/>
    <x v="1"/>
    <n v="36"/>
    <x v="1"/>
  </r>
  <r>
    <n v="476"/>
    <s v="Married"/>
    <x v="1"/>
    <n v="20000"/>
    <n v="4"/>
    <x v="0"/>
    <x v="2"/>
    <x v="0"/>
    <s v="No"/>
    <n v="2"/>
    <s v="Have Car"/>
    <x v="3"/>
    <x v="1"/>
    <n v="60"/>
    <x v="0"/>
  </r>
  <r>
    <n v="477"/>
    <s v="Single"/>
    <x v="0"/>
    <n v="70000"/>
    <n v="0"/>
    <x v="1"/>
    <x v="0"/>
    <x v="2"/>
    <s v="Yes"/>
    <n v="1"/>
    <s v="Have Car"/>
    <x v="2"/>
    <x v="1"/>
    <n v="42"/>
    <x v="1"/>
  </r>
  <r>
    <n v="478"/>
    <s v="Married"/>
    <x v="1"/>
    <n v="70000"/>
    <n v="2"/>
    <x v="0"/>
    <x v="2"/>
    <x v="0"/>
    <s v="No"/>
    <n v="2"/>
    <s v="Have Car"/>
    <x v="3"/>
    <x v="1"/>
    <n v="50"/>
    <x v="1"/>
  </r>
  <r>
    <n v="479"/>
    <s v="Married"/>
    <x v="1"/>
    <n v="30000"/>
    <n v="0"/>
    <x v="1"/>
    <x v="0"/>
    <x v="1"/>
    <s v="Yes"/>
    <n v="0"/>
    <s v="NoCar"/>
    <x v="0"/>
    <x v="0"/>
    <n v="35"/>
    <x v="1"/>
  </r>
  <r>
    <n v="480"/>
    <s v="Married"/>
    <x v="1"/>
    <n v="40000"/>
    <n v="1"/>
    <x v="0"/>
    <x v="0"/>
    <x v="0"/>
    <s v="Yes"/>
    <n v="1"/>
    <s v="Have Car"/>
    <x v="0"/>
    <x v="0"/>
    <n v="32"/>
    <x v="1"/>
  </r>
  <r>
    <n v="481"/>
    <s v="Married"/>
    <x v="0"/>
    <n v="90000"/>
    <n v="1"/>
    <x v="0"/>
    <x v="0"/>
    <x v="2"/>
    <s v="Yes"/>
    <n v="1"/>
    <s v="Have Car"/>
    <x v="2"/>
    <x v="1"/>
    <n v="46"/>
    <x v="0"/>
  </r>
  <r>
    <n v="482"/>
    <s v="Single"/>
    <x v="0"/>
    <n v="40000"/>
    <n v="2"/>
    <x v="0"/>
    <x v="1"/>
    <x v="1"/>
    <s v="Yes"/>
    <n v="0"/>
    <s v="NoCar"/>
    <x v="3"/>
    <x v="0"/>
    <n v="33"/>
    <x v="1"/>
  </r>
  <r>
    <n v="483"/>
    <s v="Single"/>
    <x v="1"/>
    <n v="40000"/>
    <n v="0"/>
    <x v="1"/>
    <x v="4"/>
    <x v="1"/>
    <s v="No"/>
    <n v="0"/>
    <s v="NoCar"/>
    <x v="0"/>
    <x v="0"/>
    <n v="36"/>
    <x v="1"/>
  </r>
  <r>
    <n v="484"/>
    <s v="Married"/>
    <x v="1"/>
    <n v="10000"/>
    <n v="1"/>
    <x v="0"/>
    <x v="4"/>
    <x v="1"/>
    <s v="Yes"/>
    <n v="0"/>
    <s v="NoCar"/>
    <x v="0"/>
    <x v="0"/>
    <n v="70"/>
    <x v="0"/>
  </r>
  <r>
    <n v="485"/>
    <s v="Single"/>
    <x v="0"/>
    <n v="30000"/>
    <n v="0"/>
    <x v="1"/>
    <x v="1"/>
    <x v="1"/>
    <s v="No"/>
    <n v="1"/>
    <s v="Have Car"/>
    <x v="1"/>
    <x v="0"/>
    <n v="31"/>
    <x v="1"/>
  </r>
  <r>
    <n v="486"/>
    <s v="Single"/>
    <x v="1"/>
    <n v="30000"/>
    <n v="2"/>
    <x v="0"/>
    <x v="1"/>
    <x v="1"/>
    <s v="Yes"/>
    <n v="2"/>
    <s v="Have Car"/>
    <x v="0"/>
    <x v="0"/>
    <n v="42"/>
    <x v="0"/>
  </r>
  <r>
    <n v="487"/>
    <s v="Married"/>
    <x v="0"/>
    <n v="90000"/>
    <n v="4"/>
    <x v="0"/>
    <x v="3"/>
    <x v="0"/>
    <s v="Yes"/>
    <n v="4"/>
    <s v="Have Car"/>
    <x v="4"/>
    <x v="0"/>
    <n v="58"/>
    <x v="0"/>
  </r>
  <r>
    <n v="488"/>
    <s v="Married"/>
    <x v="1"/>
    <n v="40000"/>
    <n v="0"/>
    <x v="1"/>
    <x v="0"/>
    <x v="1"/>
    <s v="Yes"/>
    <n v="0"/>
    <s v="NoCar"/>
    <x v="0"/>
    <x v="0"/>
    <n v="39"/>
    <x v="0"/>
  </r>
  <r>
    <n v="489"/>
    <s v="Single"/>
    <x v="0"/>
    <n v="10000"/>
    <n v="0"/>
    <x v="1"/>
    <x v="3"/>
    <x v="3"/>
    <s v="Yes"/>
    <n v="2"/>
    <s v="Have Car"/>
    <x v="3"/>
    <x v="0"/>
    <n v="34"/>
    <x v="0"/>
  </r>
  <r>
    <n v="490"/>
    <s v="Married"/>
    <x v="1"/>
    <n v="20000"/>
    <n v="0"/>
    <x v="1"/>
    <x v="3"/>
    <x v="3"/>
    <s v="Yes"/>
    <n v="2"/>
    <s v="Have Car"/>
    <x v="0"/>
    <x v="0"/>
    <n v="32"/>
    <x v="0"/>
  </r>
  <r>
    <n v="491"/>
    <s v="Married"/>
    <x v="1"/>
    <n v="60000"/>
    <n v="4"/>
    <x v="0"/>
    <x v="0"/>
    <x v="2"/>
    <s v="Yes"/>
    <n v="0"/>
    <s v="NoCar"/>
    <x v="1"/>
    <x v="2"/>
    <n v="46"/>
    <x v="0"/>
  </r>
  <r>
    <n v="492"/>
    <s v="Married"/>
    <x v="1"/>
    <n v="70000"/>
    <n v="2"/>
    <x v="0"/>
    <x v="3"/>
    <x v="0"/>
    <s v="Yes"/>
    <n v="2"/>
    <s v="Have Car"/>
    <x v="2"/>
    <x v="2"/>
    <n v="48"/>
    <x v="0"/>
  </r>
  <r>
    <n v="493"/>
    <s v="Single"/>
    <x v="0"/>
    <n v="40000"/>
    <n v="3"/>
    <x v="0"/>
    <x v="1"/>
    <x v="1"/>
    <s v="Yes"/>
    <n v="1"/>
    <s v="Have Car"/>
    <x v="3"/>
    <x v="2"/>
    <n v="31"/>
    <x v="1"/>
  </r>
  <r>
    <n v="494"/>
    <s v="Single"/>
    <x v="1"/>
    <n v="70000"/>
    <n v="5"/>
    <x v="0"/>
    <x v="0"/>
    <x v="4"/>
    <s v="Yes"/>
    <n v="3"/>
    <s v="Have Car"/>
    <x v="4"/>
    <x v="2"/>
    <n v="60"/>
    <x v="1"/>
  </r>
  <r>
    <n v="495"/>
    <s v="Married"/>
    <x v="1"/>
    <n v="70000"/>
    <n v="4"/>
    <x v="0"/>
    <x v="2"/>
    <x v="2"/>
    <s v="Yes"/>
    <n v="0"/>
    <s v="NoCar"/>
    <x v="2"/>
    <x v="2"/>
    <n v="51"/>
    <x v="0"/>
  </r>
  <r>
    <n v="496"/>
    <s v="Married"/>
    <x v="1"/>
    <n v="60000"/>
    <n v="2"/>
    <x v="0"/>
    <x v="1"/>
    <x v="2"/>
    <s v="Yes"/>
    <n v="2"/>
    <s v="Have Car"/>
    <x v="4"/>
    <x v="2"/>
    <n v="56"/>
    <x v="0"/>
  </r>
  <r>
    <n v="497"/>
    <s v="Single"/>
    <x v="0"/>
    <n v="60000"/>
    <n v="3"/>
    <x v="0"/>
    <x v="0"/>
    <x v="0"/>
    <s v="Yes"/>
    <n v="1"/>
    <s v="Have Car"/>
    <x v="1"/>
    <x v="2"/>
    <n v="40"/>
    <x v="1"/>
  </r>
  <r>
    <n v="498"/>
    <s v="Single"/>
    <x v="0"/>
    <n v="70000"/>
    <n v="1"/>
    <x v="0"/>
    <x v="4"/>
    <x v="2"/>
    <s v="Yes"/>
    <n v="0"/>
    <s v="NoCar"/>
    <x v="1"/>
    <x v="2"/>
    <n v="34"/>
    <x v="1"/>
  </r>
  <r>
    <n v="499"/>
    <s v="Married"/>
    <x v="1"/>
    <n v="80000"/>
    <n v="1"/>
    <x v="0"/>
    <x v="1"/>
    <x v="0"/>
    <s v="Yes"/>
    <n v="1"/>
    <s v="Have Car"/>
    <x v="1"/>
    <x v="2"/>
    <n v="48"/>
    <x v="1"/>
  </r>
  <r>
    <n v="500"/>
    <s v="Single"/>
    <x v="0"/>
    <n v="40000"/>
    <n v="0"/>
    <x v="1"/>
    <x v="2"/>
    <x v="0"/>
    <s v="No"/>
    <n v="2"/>
    <s v="Have Car"/>
    <x v="3"/>
    <x v="2"/>
    <n v="31"/>
    <x v="1"/>
  </r>
  <r>
    <n v="501"/>
    <s v="Married"/>
    <x v="1"/>
    <n v="60000"/>
    <n v="5"/>
    <x v="0"/>
    <x v="0"/>
    <x v="2"/>
    <s v="Yes"/>
    <n v="1"/>
    <s v="Have Car"/>
    <x v="1"/>
    <x v="2"/>
    <n v="47"/>
    <x v="0"/>
  </r>
  <r>
    <n v="502"/>
    <s v="Married"/>
    <x v="0"/>
    <n v="50000"/>
    <n v="0"/>
    <x v="1"/>
    <x v="4"/>
    <x v="0"/>
    <s v="Yes"/>
    <n v="0"/>
    <s v="NoCar"/>
    <x v="0"/>
    <x v="2"/>
    <n v="34"/>
    <x v="0"/>
  </r>
  <r>
    <n v="503"/>
    <s v="Married"/>
    <x v="1"/>
    <n v="40000"/>
    <n v="0"/>
    <x v="1"/>
    <x v="1"/>
    <x v="0"/>
    <s v="Yes"/>
    <n v="1"/>
    <s v="Have Car"/>
    <x v="2"/>
    <x v="2"/>
    <n v="29"/>
    <x v="0"/>
  </r>
  <r>
    <n v="504"/>
    <s v="Married"/>
    <x v="0"/>
    <n v="130000"/>
    <n v="1"/>
    <x v="0"/>
    <x v="0"/>
    <x v="4"/>
    <s v="Yes"/>
    <n v="4"/>
    <s v="Have Car"/>
    <x v="1"/>
    <x v="2"/>
    <n v="44"/>
    <x v="1"/>
  </r>
  <r>
    <n v="505"/>
    <s v="Married"/>
    <x v="1"/>
    <n v="70000"/>
    <n v="2"/>
    <x v="0"/>
    <x v="0"/>
    <x v="0"/>
    <s v="Yes"/>
    <n v="1"/>
    <s v="Have Car"/>
    <x v="1"/>
    <x v="2"/>
    <n v="38"/>
    <x v="1"/>
  </r>
  <r>
    <n v="506"/>
    <s v="Married"/>
    <x v="1"/>
    <n v="100000"/>
    <n v="4"/>
    <x v="0"/>
    <x v="1"/>
    <x v="2"/>
    <s v="Yes"/>
    <n v="4"/>
    <s v="Have Car"/>
    <x v="0"/>
    <x v="2"/>
    <n v="40"/>
    <x v="0"/>
  </r>
  <r>
    <n v="507"/>
    <s v="Married"/>
    <x v="0"/>
    <n v="70000"/>
    <n v="4"/>
    <x v="0"/>
    <x v="0"/>
    <x v="2"/>
    <s v="Yes"/>
    <n v="2"/>
    <s v="Have Car"/>
    <x v="1"/>
    <x v="2"/>
    <n v="42"/>
    <x v="1"/>
  </r>
  <r>
    <n v="508"/>
    <s v="Married"/>
    <x v="0"/>
    <n v="40000"/>
    <n v="1"/>
    <x v="0"/>
    <x v="1"/>
    <x v="1"/>
    <s v="Yes"/>
    <n v="1"/>
    <s v="Have Car"/>
    <x v="3"/>
    <x v="2"/>
    <n v="51"/>
    <x v="1"/>
  </r>
  <r>
    <n v="509"/>
    <s v="Married"/>
    <x v="1"/>
    <n v="60000"/>
    <n v="0"/>
    <x v="1"/>
    <x v="1"/>
    <x v="0"/>
    <s v="No"/>
    <n v="2"/>
    <s v="Have Car"/>
    <x v="3"/>
    <x v="2"/>
    <n v="29"/>
    <x v="0"/>
  </r>
  <r>
    <n v="510"/>
    <s v="Married"/>
    <x v="1"/>
    <n v="80000"/>
    <n v="3"/>
    <x v="0"/>
    <x v="0"/>
    <x v="2"/>
    <s v="Yes"/>
    <n v="1"/>
    <s v="Have Car"/>
    <x v="1"/>
    <x v="2"/>
    <n v="48"/>
    <x v="1"/>
  </r>
  <r>
    <n v="511"/>
    <s v="Single"/>
    <x v="1"/>
    <n v="70000"/>
    <n v="0"/>
    <x v="1"/>
    <x v="0"/>
    <x v="2"/>
    <s v="No"/>
    <n v="1"/>
    <s v="Have Car"/>
    <x v="1"/>
    <x v="2"/>
    <n v="37"/>
    <x v="1"/>
  </r>
  <r>
    <n v="512"/>
    <s v="Single"/>
    <x v="1"/>
    <n v="80000"/>
    <n v="4"/>
    <x v="0"/>
    <x v="0"/>
    <x v="4"/>
    <s v="Yes"/>
    <n v="0"/>
    <s v="NoCar"/>
    <x v="2"/>
    <x v="2"/>
    <n v="66"/>
    <x v="1"/>
  </r>
  <r>
    <n v="513"/>
    <s v="Married"/>
    <x v="0"/>
    <n v="60000"/>
    <n v="1"/>
    <x v="0"/>
    <x v="1"/>
    <x v="0"/>
    <s v="Yes"/>
    <n v="1"/>
    <s v="Have Car"/>
    <x v="0"/>
    <x v="2"/>
    <n v="45"/>
    <x v="1"/>
  </r>
  <r>
    <n v="514"/>
    <s v="Single"/>
    <x v="0"/>
    <n v="60000"/>
    <n v="4"/>
    <x v="0"/>
    <x v="4"/>
    <x v="4"/>
    <s v="Yes"/>
    <n v="2"/>
    <s v="Have Car"/>
    <x v="4"/>
    <x v="2"/>
    <n v="61"/>
    <x v="1"/>
  </r>
  <r>
    <n v="515"/>
    <s v="Single"/>
    <x v="1"/>
    <n v="40000"/>
    <n v="0"/>
    <x v="1"/>
    <x v="0"/>
    <x v="2"/>
    <s v="No"/>
    <n v="1"/>
    <s v="Have Car"/>
    <x v="1"/>
    <x v="2"/>
    <n v="45"/>
    <x v="0"/>
  </r>
  <r>
    <n v="516"/>
    <s v="Married"/>
    <x v="0"/>
    <n v="70000"/>
    <n v="5"/>
    <x v="0"/>
    <x v="0"/>
    <x v="2"/>
    <s v="Yes"/>
    <n v="2"/>
    <s v="Have Car"/>
    <x v="1"/>
    <x v="2"/>
    <n v="47"/>
    <x v="0"/>
  </r>
  <r>
    <n v="517"/>
    <s v="Married"/>
    <x v="0"/>
    <n v="60000"/>
    <n v="2"/>
    <x v="0"/>
    <x v="2"/>
    <x v="2"/>
    <s v="Yes"/>
    <n v="2"/>
    <s v="Have Car"/>
    <x v="2"/>
    <x v="2"/>
    <n v="49"/>
    <x v="0"/>
  </r>
  <r>
    <n v="518"/>
    <s v="Single"/>
    <x v="1"/>
    <n v="60000"/>
    <n v="3"/>
    <x v="0"/>
    <x v="0"/>
    <x v="2"/>
    <s v="No"/>
    <n v="0"/>
    <s v="NoCar"/>
    <x v="0"/>
    <x v="2"/>
    <n v="47"/>
    <x v="1"/>
  </r>
  <r>
    <n v="519"/>
    <s v="Married"/>
    <x v="0"/>
    <n v="80000"/>
    <n v="0"/>
    <x v="1"/>
    <x v="0"/>
    <x v="4"/>
    <s v="Yes"/>
    <n v="1"/>
    <s v="Have Car"/>
    <x v="3"/>
    <x v="2"/>
    <n v="34"/>
    <x v="1"/>
  </r>
  <r>
    <n v="520"/>
    <s v="Married"/>
    <x v="1"/>
    <n v="80000"/>
    <n v="5"/>
    <x v="0"/>
    <x v="0"/>
    <x v="4"/>
    <s v="Yes"/>
    <n v="2"/>
    <s v="Have Car"/>
    <x v="3"/>
    <x v="2"/>
    <n v="64"/>
    <x v="0"/>
  </r>
  <r>
    <n v="521"/>
    <s v="Single"/>
    <x v="1"/>
    <n v="100000"/>
    <n v="1"/>
    <x v="0"/>
    <x v="1"/>
    <x v="2"/>
    <s v="No"/>
    <n v="3"/>
    <s v="Have Car"/>
    <x v="3"/>
    <x v="2"/>
    <n v="44"/>
    <x v="0"/>
  </r>
  <r>
    <n v="522"/>
    <s v="Single"/>
    <x v="1"/>
    <n v="40000"/>
    <n v="4"/>
    <x v="0"/>
    <x v="2"/>
    <x v="2"/>
    <s v="Yes"/>
    <n v="2"/>
    <s v="Have Car"/>
    <x v="4"/>
    <x v="2"/>
    <n v="62"/>
    <x v="1"/>
  </r>
  <r>
    <n v="523"/>
    <s v="Single"/>
    <x v="1"/>
    <n v="60000"/>
    <n v="3"/>
    <x v="0"/>
    <x v="0"/>
    <x v="2"/>
    <s v="No"/>
    <n v="1"/>
    <s v="Have Car"/>
    <x v="0"/>
    <x v="2"/>
    <n v="47"/>
    <x v="1"/>
  </r>
  <r>
    <n v="524"/>
    <s v="Married"/>
    <x v="1"/>
    <n v="80000"/>
    <n v="3"/>
    <x v="0"/>
    <x v="1"/>
    <x v="2"/>
    <s v="No"/>
    <n v="2"/>
    <s v="Have Car"/>
    <x v="0"/>
    <x v="2"/>
    <n v="49"/>
    <x v="1"/>
  </r>
  <r>
    <n v="525"/>
    <s v="Single"/>
    <x v="0"/>
    <n v="80000"/>
    <n v="4"/>
    <x v="0"/>
    <x v="4"/>
    <x v="4"/>
    <s v="Yes"/>
    <n v="2"/>
    <s v="Have Car"/>
    <x v="2"/>
    <x v="2"/>
    <n v="67"/>
    <x v="0"/>
  </r>
  <r>
    <n v="526"/>
    <s v="Single"/>
    <x v="1"/>
    <n v="60000"/>
    <n v="5"/>
    <x v="0"/>
    <x v="0"/>
    <x v="4"/>
    <s v="Yes"/>
    <n v="3"/>
    <s v="Have Car"/>
    <x v="4"/>
    <x v="2"/>
    <n v="59"/>
    <x v="1"/>
  </r>
  <r>
    <n v="527"/>
    <s v="Married"/>
    <x v="0"/>
    <n v="110000"/>
    <n v="1"/>
    <x v="0"/>
    <x v="0"/>
    <x v="4"/>
    <s v="Yes"/>
    <n v="2"/>
    <s v="Have Car"/>
    <x v="3"/>
    <x v="2"/>
    <n v="44"/>
    <x v="0"/>
  </r>
  <r>
    <n v="528"/>
    <s v="Married"/>
    <x v="1"/>
    <n v="50000"/>
    <n v="1"/>
    <x v="0"/>
    <x v="0"/>
    <x v="0"/>
    <s v="Yes"/>
    <n v="0"/>
    <s v="NoCar"/>
    <x v="0"/>
    <x v="2"/>
    <n v="36"/>
    <x v="0"/>
  </r>
  <r>
    <n v="529"/>
    <s v="Single"/>
    <x v="0"/>
    <n v="30000"/>
    <n v="0"/>
    <x v="1"/>
    <x v="1"/>
    <x v="0"/>
    <s v="Yes"/>
    <n v="1"/>
    <s v="Have Car"/>
    <x v="2"/>
    <x v="2"/>
    <n v="28"/>
    <x v="0"/>
  </r>
  <r>
    <n v="530"/>
    <s v="Married"/>
    <x v="1"/>
    <n v="60000"/>
    <n v="2"/>
    <x v="0"/>
    <x v="1"/>
    <x v="2"/>
    <s v="Yes"/>
    <n v="1"/>
    <s v="Have Car"/>
    <x v="4"/>
    <x v="2"/>
    <n v="57"/>
    <x v="1"/>
  </r>
  <r>
    <n v="531"/>
    <s v="Married"/>
    <x v="1"/>
    <n v="60000"/>
    <n v="0"/>
    <x v="1"/>
    <x v="1"/>
    <x v="0"/>
    <s v="Yes"/>
    <n v="1"/>
    <s v="Have Car"/>
    <x v="2"/>
    <x v="2"/>
    <n v="27"/>
    <x v="1"/>
  </r>
  <r>
    <n v="532"/>
    <s v="Single"/>
    <x v="1"/>
    <n v="30000"/>
    <n v="0"/>
    <x v="1"/>
    <x v="3"/>
    <x v="1"/>
    <s v="Yes"/>
    <n v="2"/>
    <s v="Have Car"/>
    <x v="2"/>
    <x v="2"/>
    <n v="28"/>
    <x v="0"/>
  </r>
  <r>
    <n v="533"/>
    <s v="Single"/>
    <x v="0"/>
    <n v="60000"/>
    <n v="1"/>
    <x v="0"/>
    <x v="0"/>
    <x v="2"/>
    <s v="No"/>
    <n v="1"/>
    <s v="Have Car"/>
    <x v="0"/>
    <x v="2"/>
    <n v="44"/>
    <x v="1"/>
  </r>
  <r>
    <n v="534"/>
    <s v="Married"/>
    <x v="1"/>
    <n v="60000"/>
    <n v="3"/>
    <x v="0"/>
    <x v="0"/>
    <x v="4"/>
    <s v="Yes"/>
    <n v="2"/>
    <s v="Have Car"/>
    <x v="4"/>
    <x v="2"/>
    <n v="66"/>
    <x v="0"/>
  </r>
  <r>
    <n v="535"/>
    <s v="Married"/>
    <x v="1"/>
    <n v="40000"/>
    <n v="4"/>
    <x v="0"/>
    <x v="2"/>
    <x v="2"/>
    <s v="Yes"/>
    <n v="2"/>
    <s v="Have Car"/>
    <x v="4"/>
    <x v="2"/>
    <n v="64"/>
    <x v="0"/>
  </r>
  <r>
    <n v="536"/>
    <s v="Married"/>
    <x v="1"/>
    <n v="50000"/>
    <n v="3"/>
    <x v="0"/>
    <x v="0"/>
    <x v="0"/>
    <s v="Yes"/>
    <n v="3"/>
    <s v="Have Car"/>
    <x v="4"/>
    <x v="2"/>
    <n v="41"/>
    <x v="0"/>
  </r>
  <r>
    <n v="537"/>
    <s v="Single"/>
    <x v="0"/>
    <n v="80000"/>
    <n v="3"/>
    <x v="0"/>
    <x v="0"/>
    <x v="0"/>
    <s v="Yes"/>
    <n v="1"/>
    <s v="Have Car"/>
    <x v="0"/>
    <x v="2"/>
    <n v="41"/>
    <x v="1"/>
  </r>
  <r>
    <n v="538"/>
    <s v="Married"/>
    <x v="0"/>
    <n v="40000"/>
    <n v="1"/>
    <x v="0"/>
    <x v="1"/>
    <x v="1"/>
    <s v="Yes"/>
    <n v="1"/>
    <s v="Have Car"/>
    <x v="3"/>
    <x v="2"/>
    <n v="49"/>
    <x v="1"/>
  </r>
  <r>
    <n v="539"/>
    <s v="Married"/>
    <x v="0"/>
    <n v="80000"/>
    <n v="4"/>
    <x v="0"/>
    <x v="0"/>
    <x v="4"/>
    <s v="Yes"/>
    <n v="0"/>
    <s v="NoCar"/>
    <x v="0"/>
    <x v="2"/>
    <n v="42"/>
    <x v="0"/>
  </r>
  <r>
    <n v="540"/>
    <s v="Single"/>
    <x v="0"/>
    <n v="70000"/>
    <n v="0"/>
    <x v="1"/>
    <x v="0"/>
    <x v="2"/>
    <s v="No"/>
    <n v="1"/>
    <s v="Have Car"/>
    <x v="1"/>
    <x v="2"/>
    <n v="37"/>
    <x v="1"/>
  </r>
  <r>
    <n v="541"/>
    <s v="Single"/>
    <x v="0"/>
    <n v="70000"/>
    <n v="3"/>
    <x v="0"/>
    <x v="4"/>
    <x v="4"/>
    <s v="Yes"/>
    <n v="2"/>
    <s v="Have Car"/>
    <x v="3"/>
    <x v="2"/>
    <n v="52"/>
    <x v="0"/>
  </r>
  <r>
    <n v="542"/>
    <s v="Married"/>
    <x v="1"/>
    <n v="50000"/>
    <n v="1"/>
    <x v="0"/>
    <x v="4"/>
    <x v="0"/>
    <s v="Yes"/>
    <n v="0"/>
    <s v="NoCar"/>
    <x v="3"/>
    <x v="2"/>
    <n v="34"/>
    <x v="0"/>
  </r>
  <r>
    <n v="543"/>
    <s v="Married"/>
    <x v="1"/>
    <n v="40000"/>
    <n v="0"/>
    <x v="1"/>
    <x v="2"/>
    <x v="0"/>
    <s v="Yes"/>
    <n v="2"/>
    <s v="Have Car"/>
    <x v="2"/>
    <x v="2"/>
    <n v="29"/>
    <x v="0"/>
  </r>
  <r>
    <n v="544"/>
    <s v="Married"/>
    <x v="0"/>
    <n v="70000"/>
    <n v="2"/>
    <x v="0"/>
    <x v="2"/>
    <x v="2"/>
    <s v="Yes"/>
    <n v="2"/>
    <s v="Have Car"/>
    <x v="1"/>
    <x v="2"/>
    <n v="53"/>
    <x v="0"/>
  </r>
  <r>
    <n v="545"/>
    <s v="Single"/>
    <x v="1"/>
    <n v="120000"/>
    <n v="2"/>
    <x v="0"/>
    <x v="0"/>
    <x v="4"/>
    <s v="No"/>
    <n v="4"/>
    <s v="Have Car"/>
    <x v="3"/>
    <x v="2"/>
    <n v="40"/>
    <x v="0"/>
  </r>
  <r>
    <n v="546"/>
    <s v="Single"/>
    <x v="1"/>
    <n v="60000"/>
    <n v="0"/>
    <x v="1"/>
    <x v="1"/>
    <x v="0"/>
    <s v="No"/>
    <n v="2"/>
    <s v="Have Car"/>
    <x v="3"/>
    <x v="2"/>
    <n v="29"/>
    <x v="0"/>
  </r>
  <r>
    <n v="547"/>
    <s v="Married"/>
    <x v="1"/>
    <n v="60000"/>
    <n v="4"/>
    <x v="0"/>
    <x v="0"/>
    <x v="2"/>
    <s v="Yes"/>
    <n v="2"/>
    <s v="Have Car"/>
    <x v="1"/>
    <x v="2"/>
    <n v="43"/>
    <x v="1"/>
  </r>
  <r>
    <n v="548"/>
    <s v="Married"/>
    <x v="1"/>
    <n v="60000"/>
    <n v="2"/>
    <x v="0"/>
    <x v="2"/>
    <x v="2"/>
    <s v="Yes"/>
    <n v="2"/>
    <s v="Have Car"/>
    <x v="1"/>
    <x v="2"/>
    <n v="55"/>
    <x v="1"/>
  </r>
  <r>
    <n v="549"/>
    <s v="Single"/>
    <x v="0"/>
    <n v="80000"/>
    <n v="4"/>
    <x v="0"/>
    <x v="4"/>
    <x v="0"/>
    <s v="No"/>
    <n v="0"/>
    <s v="NoCar"/>
    <x v="0"/>
    <x v="2"/>
    <n v="48"/>
    <x v="0"/>
  </r>
  <r>
    <n v="550"/>
    <s v="Married"/>
    <x v="0"/>
    <n v="130000"/>
    <n v="3"/>
    <x v="0"/>
    <x v="0"/>
    <x v="4"/>
    <s v="Yes"/>
    <n v="3"/>
    <s v="Have Car"/>
    <x v="0"/>
    <x v="2"/>
    <n v="45"/>
    <x v="1"/>
  </r>
  <r>
    <n v="551"/>
    <s v="Single"/>
    <x v="0"/>
    <n v="70000"/>
    <n v="0"/>
    <x v="1"/>
    <x v="0"/>
    <x v="2"/>
    <s v="No"/>
    <n v="1"/>
    <s v="Have Car"/>
    <x v="0"/>
    <x v="1"/>
    <n v="42"/>
    <x v="1"/>
  </r>
  <r>
    <n v="552"/>
    <s v="Married"/>
    <x v="0"/>
    <n v="50000"/>
    <n v="4"/>
    <x v="0"/>
    <x v="0"/>
    <x v="4"/>
    <s v="Yes"/>
    <n v="2"/>
    <s v="Have Car"/>
    <x v="4"/>
    <x v="2"/>
    <n v="63"/>
    <x v="0"/>
  </r>
  <r>
    <n v="553"/>
    <s v="Single"/>
    <x v="1"/>
    <n v="60000"/>
    <n v="3"/>
    <x v="0"/>
    <x v="2"/>
    <x v="2"/>
    <s v="Yes"/>
    <n v="2"/>
    <s v="Have Car"/>
    <x v="4"/>
    <x v="2"/>
    <n v="54"/>
    <x v="1"/>
  </r>
  <r>
    <n v="554"/>
    <s v="Married"/>
    <x v="1"/>
    <n v="40000"/>
    <n v="3"/>
    <x v="0"/>
    <x v="1"/>
    <x v="2"/>
    <s v="No"/>
    <n v="2"/>
    <s v="Have Car"/>
    <x v="2"/>
    <x v="2"/>
    <n v="73"/>
    <x v="1"/>
  </r>
  <r>
    <n v="555"/>
    <s v="Married"/>
    <x v="0"/>
    <n v="60000"/>
    <n v="2"/>
    <x v="0"/>
    <x v="4"/>
    <x v="2"/>
    <s v="Yes"/>
    <n v="0"/>
    <s v="NoCar"/>
    <x v="1"/>
    <x v="2"/>
    <n v="40"/>
    <x v="1"/>
  </r>
  <r>
    <n v="556"/>
    <s v="Single"/>
    <x v="1"/>
    <n v="50000"/>
    <n v="0"/>
    <x v="1"/>
    <x v="1"/>
    <x v="0"/>
    <s v="No"/>
    <n v="1"/>
    <s v="Have Car"/>
    <x v="1"/>
    <x v="2"/>
    <n v="39"/>
    <x v="1"/>
  </r>
  <r>
    <n v="557"/>
    <s v="Married"/>
    <x v="1"/>
    <n v="80000"/>
    <n v="4"/>
    <x v="0"/>
    <x v="0"/>
    <x v="4"/>
    <s v="Yes"/>
    <n v="0"/>
    <s v="NoCar"/>
    <x v="3"/>
    <x v="2"/>
    <n v="42"/>
    <x v="0"/>
  </r>
  <r>
    <n v="558"/>
    <s v="Married"/>
    <x v="0"/>
    <n v="40000"/>
    <n v="3"/>
    <x v="0"/>
    <x v="1"/>
    <x v="1"/>
    <s v="Yes"/>
    <n v="0"/>
    <s v="NoCar"/>
    <x v="3"/>
    <x v="2"/>
    <n v="31"/>
    <x v="0"/>
  </r>
  <r>
    <n v="559"/>
    <s v="Married"/>
    <x v="0"/>
    <n v="50000"/>
    <n v="3"/>
    <x v="0"/>
    <x v="0"/>
    <x v="0"/>
    <s v="Yes"/>
    <n v="2"/>
    <s v="Have Car"/>
    <x v="0"/>
    <x v="2"/>
    <n v="41"/>
    <x v="0"/>
  </r>
  <r>
    <n v="560"/>
    <s v="Single"/>
    <x v="0"/>
    <n v="60000"/>
    <n v="2"/>
    <x v="0"/>
    <x v="0"/>
    <x v="4"/>
    <s v="Yes"/>
    <n v="0"/>
    <s v="NoCar"/>
    <x v="4"/>
    <x v="2"/>
    <n v="58"/>
    <x v="0"/>
  </r>
  <r>
    <n v="561"/>
    <s v="Married"/>
    <x v="0"/>
    <n v="60000"/>
    <n v="0"/>
    <x v="1"/>
    <x v="4"/>
    <x v="2"/>
    <s v="Yes"/>
    <n v="0"/>
    <s v="NoCar"/>
    <x v="0"/>
    <x v="2"/>
    <n v="40"/>
    <x v="0"/>
  </r>
  <r>
    <n v="562"/>
    <s v="Married"/>
    <x v="0"/>
    <n v="20000"/>
    <n v="2"/>
    <x v="0"/>
    <x v="3"/>
    <x v="1"/>
    <s v="No"/>
    <n v="0"/>
    <s v="NoCar"/>
    <x v="0"/>
    <x v="2"/>
    <n v="48"/>
    <x v="0"/>
  </r>
  <r>
    <n v="563"/>
    <s v="Married"/>
    <x v="0"/>
    <n v="70000"/>
    <n v="2"/>
    <x v="0"/>
    <x v="4"/>
    <x v="2"/>
    <s v="Yes"/>
    <n v="0"/>
    <s v="NoCar"/>
    <x v="1"/>
    <x v="2"/>
    <n v="34"/>
    <x v="1"/>
  </r>
  <r>
    <n v="564"/>
    <s v="Single"/>
    <x v="0"/>
    <n v="30000"/>
    <n v="0"/>
    <x v="1"/>
    <x v="1"/>
    <x v="0"/>
    <s v="Yes"/>
    <n v="1"/>
    <s v="Have Car"/>
    <x v="2"/>
    <x v="2"/>
    <n v="28"/>
    <x v="0"/>
  </r>
  <r>
    <n v="565"/>
    <s v="Single"/>
    <x v="1"/>
    <n v="30000"/>
    <n v="0"/>
    <x v="1"/>
    <x v="1"/>
    <x v="0"/>
    <s v="Yes"/>
    <n v="1"/>
    <s v="Have Car"/>
    <x v="2"/>
    <x v="2"/>
    <n v="27"/>
    <x v="0"/>
  </r>
  <r>
    <n v="566"/>
    <s v="Married"/>
    <x v="1"/>
    <n v="40000"/>
    <n v="3"/>
    <x v="0"/>
    <x v="1"/>
    <x v="2"/>
    <s v="No"/>
    <n v="2"/>
    <s v="Have Car"/>
    <x v="2"/>
    <x v="2"/>
    <n v="54"/>
    <x v="1"/>
  </r>
  <r>
    <n v="567"/>
    <s v="Married"/>
    <x v="0"/>
    <n v="60000"/>
    <n v="2"/>
    <x v="0"/>
    <x v="4"/>
    <x v="4"/>
    <s v="Yes"/>
    <n v="2"/>
    <s v="Have Car"/>
    <x v="2"/>
    <x v="2"/>
    <n v="70"/>
    <x v="0"/>
  </r>
  <r>
    <n v="568"/>
    <s v="Married"/>
    <x v="1"/>
    <n v="40000"/>
    <n v="1"/>
    <x v="0"/>
    <x v="1"/>
    <x v="1"/>
    <s v="Yes"/>
    <n v="1"/>
    <s v="Have Car"/>
    <x v="3"/>
    <x v="2"/>
    <n v="48"/>
    <x v="1"/>
  </r>
  <r>
    <n v="569"/>
    <s v="Married"/>
    <x v="1"/>
    <n v="70000"/>
    <n v="1"/>
    <x v="0"/>
    <x v="1"/>
    <x v="0"/>
    <s v="Yes"/>
    <n v="1"/>
    <s v="Have Car"/>
    <x v="1"/>
    <x v="2"/>
    <n v="44"/>
    <x v="1"/>
  </r>
  <r>
    <n v="570"/>
    <s v="Single"/>
    <x v="1"/>
    <n v="50000"/>
    <n v="3"/>
    <x v="0"/>
    <x v="4"/>
    <x v="4"/>
    <s v="Yes"/>
    <n v="2"/>
    <s v="Have Car"/>
    <x v="4"/>
    <x v="2"/>
    <n v="69"/>
    <x v="0"/>
  </r>
  <r>
    <n v="571"/>
    <s v="Married"/>
    <x v="1"/>
    <n v="70000"/>
    <n v="3"/>
    <x v="0"/>
    <x v="3"/>
    <x v="0"/>
    <s v="Yes"/>
    <n v="2"/>
    <s v="Have Car"/>
    <x v="2"/>
    <x v="2"/>
    <n v="52"/>
    <x v="0"/>
  </r>
  <r>
    <n v="572"/>
    <s v="Married"/>
    <x v="1"/>
    <n v="40000"/>
    <n v="2"/>
    <x v="0"/>
    <x v="3"/>
    <x v="0"/>
    <s v="Yes"/>
    <n v="2"/>
    <s v="Have Car"/>
    <x v="1"/>
    <x v="2"/>
    <n v="55"/>
    <x v="0"/>
  </r>
  <r>
    <n v="573"/>
    <s v="Single"/>
    <x v="1"/>
    <n v="30000"/>
    <n v="0"/>
    <x v="1"/>
    <x v="2"/>
    <x v="0"/>
    <s v="Yes"/>
    <n v="2"/>
    <s v="Have Car"/>
    <x v="2"/>
    <x v="2"/>
    <n v="30"/>
    <x v="0"/>
  </r>
  <r>
    <n v="574"/>
    <s v="Married"/>
    <x v="1"/>
    <n v="60000"/>
    <n v="3"/>
    <x v="0"/>
    <x v="4"/>
    <x v="4"/>
    <s v="Yes"/>
    <n v="2"/>
    <s v="Have Car"/>
    <x v="3"/>
    <x v="2"/>
    <n v="63"/>
    <x v="0"/>
  </r>
  <r>
    <n v="575"/>
    <s v="Single"/>
    <x v="0"/>
    <n v="80000"/>
    <n v="0"/>
    <x v="1"/>
    <x v="0"/>
    <x v="4"/>
    <s v="Yes"/>
    <n v="1"/>
    <s v="Have Car"/>
    <x v="3"/>
    <x v="2"/>
    <n v="34"/>
    <x v="1"/>
  </r>
  <r>
    <n v="576"/>
    <s v="Single"/>
    <x v="1"/>
    <n v="60000"/>
    <n v="2"/>
    <x v="0"/>
    <x v="1"/>
    <x v="2"/>
    <s v="Yes"/>
    <n v="1"/>
    <s v="Have Car"/>
    <x v="4"/>
    <x v="2"/>
    <n v="56"/>
    <x v="0"/>
  </r>
  <r>
    <n v="577"/>
    <s v="Single"/>
    <x v="0"/>
    <n v="40000"/>
    <n v="0"/>
    <x v="1"/>
    <x v="2"/>
    <x v="0"/>
    <s v="Yes"/>
    <n v="1"/>
    <s v="Have Car"/>
    <x v="2"/>
    <x v="2"/>
    <n v="31"/>
    <x v="0"/>
  </r>
  <r>
    <n v="578"/>
    <s v="Married"/>
    <x v="1"/>
    <n v="120000"/>
    <n v="1"/>
    <x v="0"/>
    <x v="0"/>
    <x v="4"/>
    <s v="Yes"/>
    <n v="4"/>
    <s v="Have Car"/>
    <x v="0"/>
    <x v="2"/>
    <n v="38"/>
    <x v="0"/>
  </r>
  <r>
    <n v="579"/>
    <s v="Married"/>
    <x v="1"/>
    <n v="60000"/>
    <n v="4"/>
    <x v="0"/>
    <x v="0"/>
    <x v="4"/>
    <s v="Yes"/>
    <n v="2"/>
    <s v="Have Car"/>
    <x v="1"/>
    <x v="2"/>
    <n v="59"/>
    <x v="0"/>
  </r>
  <r>
    <n v="580"/>
    <s v="Single"/>
    <x v="0"/>
    <n v="40000"/>
    <n v="3"/>
    <x v="0"/>
    <x v="1"/>
    <x v="1"/>
    <s v="No"/>
    <n v="2"/>
    <s v="Have Car"/>
    <x v="0"/>
    <x v="2"/>
    <n v="32"/>
    <x v="0"/>
  </r>
  <r>
    <n v="581"/>
    <s v="Married"/>
    <x v="0"/>
    <n v="60000"/>
    <n v="3"/>
    <x v="0"/>
    <x v="4"/>
    <x v="4"/>
    <s v="Yes"/>
    <n v="2"/>
    <s v="Have Car"/>
    <x v="4"/>
    <x v="2"/>
    <n v="69"/>
    <x v="0"/>
  </r>
  <r>
    <n v="582"/>
    <s v="Married"/>
    <x v="1"/>
    <n v="40000"/>
    <n v="0"/>
    <x v="1"/>
    <x v="1"/>
    <x v="0"/>
    <s v="Yes"/>
    <n v="1"/>
    <s v="Have Car"/>
    <x v="2"/>
    <x v="2"/>
    <n v="28"/>
    <x v="0"/>
  </r>
  <r>
    <n v="583"/>
    <s v="Married"/>
    <x v="1"/>
    <n v="80000"/>
    <n v="4"/>
    <x v="0"/>
    <x v="4"/>
    <x v="0"/>
    <s v="Yes"/>
    <n v="0"/>
    <s v="NoCar"/>
    <x v="3"/>
    <x v="2"/>
    <n v="47"/>
    <x v="0"/>
  </r>
  <r>
    <n v="584"/>
    <s v="Married"/>
    <x v="1"/>
    <n v="60000"/>
    <n v="3"/>
    <x v="0"/>
    <x v="0"/>
    <x v="4"/>
    <s v="Yes"/>
    <n v="2"/>
    <s v="Have Car"/>
    <x v="4"/>
    <x v="2"/>
    <n v="66"/>
    <x v="0"/>
  </r>
  <r>
    <n v="585"/>
    <s v="Single"/>
    <x v="1"/>
    <n v="70000"/>
    <n v="2"/>
    <x v="0"/>
    <x v="0"/>
    <x v="0"/>
    <s v="No"/>
    <n v="1"/>
    <s v="Have Car"/>
    <x v="0"/>
    <x v="2"/>
    <n v="37"/>
    <x v="1"/>
  </r>
  <r>
    <n v="586"/>
    <s v="Single"/>
    <x v="1"/>
    <n v="120000"/>
    <n v="2"/>
    <x v="0"/>
    <x v="0"/>
    <x v="4"/>
    <s v="No"/>
    <n v="3"/>
    <s v="Have Car"/>
    <x v="0"/>
    <x v="2"/>
    <n v="39"/>
    <x v="1"/>
  </r>
  <r>
    <n v="587"/>
    <s v="Married"/>
    <x v="1"/>
    <n v="60000"/>
    <n v="2"/>
    <x v="0"/>
    <x v="2"/>
    <x v="2"/>
    <s v="No"/>
    <n v="2"/>
    <s v="Have Car"/>
    <x v="3"/>
    <x v="2"/>
    <n v="51"/>
    <x v="0"/>
  </r>
  <r>
    <n v="588"/>
    <s v="Married"/>
    <x v="0"/>
    <n v="130000"/>
    <n v="0"/>
    <x v="1"/>
    <x v="4"/>
    <x v="4"/>
    <s v="Yes"/>
    <n v="3"/>
    <s v="Have Car"/>
    <x v="3"/>
    <x v="2"/>
    <n v="40"/>
    <x v="0"/>
  </r>
  <r>
    <n v="589"/>
    <s v="Married"/>
    <x v="0"/>
    <n v="90000"/>
    <n v="2"/>
    <x v="0"/>
    <x v="2"/>
    <x v="2"/>
    <s v="Yes"/>
    <n v="1"/>
    <s v="Have Car"/>
    <x v="4"/>
    <x v="2"/>
    <n v="51"/>
    <x v="1"/>
  </r>
  <r>
    <n v="590"/>
    <s v="Single"/>
    <x v="1"/>
    <n v="60000"/>
    <n v="2"/>
    <x v="0"/>
    <x v="0"/>
    <x v="4"/>
    <s v="Yes"/>
    <n v="0"/>
    <s v="NoCar"/>
    <x v="4"/>
    <x v="2"/>
    <n v="57"/>
    <x v="0"/>
  </r>
  <r>
    <n v="591"/>
    <s v="Married"/>
    <x v="0"/>
    <n v="60000"/>
    <n v="1"/>
    <x v="0"/>
    <x v="4"/>
    <x v="2"/>
    <s v="No"/>
    <n v="0"/>
    <s v="NoCar"/>
    <x v="0"/>
    <x v="2"/>
    <n v="35"/>
    <x v="1"/>
  </r>
  <r>
    <n v="592"/>
    <s v="Married"/>
    <x v="1"/>
    <n v="40000"/>
    <n v="4"/>
    <x v="0"/>
    <x v="2"/>
    <x v="2"/>
    <s v="No"/>
    <n v="2"/>
    <s v="Have Car"/>
    <x v="4"/>
    <x v="2"/>
    <n v="61"/>
    <x v="1"/>
  </r>
  <r>
    <n v="593"/>
    <s v="Single"/>
    <x v="0"/>
    <n v="80000"/>
    <n v="5"/>
    <x v="0"/>
    <x v="1"/>
    <x v="2"/>
    <s v="Yes"/>
    <n v="2"/>
    <s v="Have Car"/>
    <x v="2"/>
    <x v="2"/>
    <n v="44"/>
    <x v="0"/>
  </r>
  <r>
    <n v="594"/>
    <s v="Single"/>
    <x v="0"/>
    <n v="70000"/>
    <n v="2"/>
    <x v="0"/>
    <x v="1"/>
    <x v="2"/>
    <s v="Yes"/>
    <n v="0"/>
    <s v="NoCar"/>
    <x v="2"/>
    <x v="2"/>
    <n v="49"/>
    <x v="1"/>
  </r>
  <r>
    <n v="595"/>
    <s v="Married"/>
    <x v="1"/>
    <n v="80000"/>
    <n v="4"/>
    <x v="0"/>
    <x v="4"/>
    <x v="4"/>
    <s v="Yes"/>
    <n v="2"/>
    <s v="Have Car"/>
    <x v="2"/>
    <x v="2"/>
    <n v="70"/>
    <x v="0"/>
  </r>
  <r>
    <n v="596"/>
    <s v="Single"/>
    <x v="0"/>
    <n v="20000"/>
    <n v="3"/>
    <x v="0"/>
    <x v="2"/>
    <x v="0"/>
    <s v="Yes"/>
    <n v="2"/>
    <s v="Have Car"/>
    <x v="1"/>
    <x v="2"/>
    <n v="78"/>
    <x v="0"/>
  </r>
  <r>
    <n v="597"/>
    <s v="Married"/>
    <x v="0"/>
    <n v="90000"/>
    <n v="4"/>
    <x v="0"/>
    <x v="1"/>
    <x v="2"/>
    <s v="Yes"/>
    <n v="1"/>
    <s v="Have Car"/>
    <x v="3"/>
    <x v="2"/>
    <n v="45"/>
    <x v="0"/>
  </r>
  <r>
    <n v="598"/>
    <s v="Single"/>
    <x v="1"/>
    <n v="40000"/>
    <n v="2"/>
    <x v="0"/>
    <x v="2"/>
    <x v="2"/>
    <s v="No"/>
    <n v="1"/>
    <s v="Have Car"/>
    <x v="1"/>
    <x v="2"/>
    <n v="58"/>
    <x v="1"/>
  </r>
  <r>
    <n v="599"/>
    <s v="Married"/>
    <x v="1"/>
    <n v="130000"/>
    <n v="1"/>
    <x v="0"/>
    <x v="4"/>
    <x v="4"/>
    <s v="Yes"/>
    <n v="4"/>
    <s v="Have Car"/>
    <x v="0"/>
    <x v="2"/>
    <n v="41"/>
    <x v="0"/>
  </r>
  <r>
    <n v="600"/>
    <s v="Married"/>
    <x v="0"/>
    <n v="60000"/>
    <n v="2"/>
    <x v="0"/>
    <x v="1"/>
    <x v="2"/>
    <s v="Yes"/>
    <n v="1"/>
    <s v="Have Car"/>
    <x v="1"/>
    <x v="2"/>
    <n v="57"/>
    <x v="1"/>
  </r>
  <r>
    <n v="601"/>
    <s v="Married"/>
    <x v="1"/>
    <n v="30000"/>
    <n v="2"/>
    <x v="0"/>
    <x v="2"/>
    <x v="0"/>
    <s v="No"/>
    <n v="2"/>
    <s v="Have Car"/>
    <x v="0"/>
    <x v="2"/>
    <n v="49"/>
    <x v="0"/>
  </r>
  <r>
    <n v="602"/>
    <s v="Single"/>
    <x v="1"/>
    <n v="80000"/>
    <n v="4"/>
    <x v="0"/>
    <x v="1"/>
    <x v="2"/>
    <s v="No"/>
    <n v="2"/>
    <s v="Have Car"/>
    <x v="0"/>
    <x v="2"/>
    <n v="43"/>
    <x v="0"/>
  </r>
  <r>
    <n v="603"/>
    <s v="Single"/>
    <x v="1"/>
    <n v="60000"/>
    <n v="2"/>
    <x v="0"/>
    <x v="3"/>
    <x v="0"/>
    <s v="Yes"/>
    <n v="2"/>
    <s v="Have Car"/>
    <x v="2"/>
    <x v="2"/>
    <n v="52"/>
    <x v="1"/>
  </r>
  <r>
    <n v="604"/>
    <s v="Married"/>
    <x v="1"/>
    <n v="60000"/>
    <n v="1"/>
    <x v="0"/>
    <x v="4"/>
    <x v="2"/>
    <s v="Yes"/>
    <n v="0"/>
    <s v="NoCar"/>
    <x v="0"/>
    <x v="2"/>
    <n v="35"/>
    <x v="1"/>
  </r>
  <r>
    <n v="605"/>
    <s v="Married"/>
    <x v="1"/>
    <n v="40000"/>
    <n v="0"/>
    <x v="1"/>
    <x v="2"/>
    <x v="0"/>
    <s v="Yes"/>
    <n v="2"/>
    <s v="Have Car"/>
    <x v="2"/>
    <x v="2"/>
    <n v="27"/>
    <x v="0"/>
  </r>
  <r>
    <n v="606"/>
    <s v="Single"/>
    <x v="1"/>
    <n v="70000"/>
    <n v="3"/>
    <x v="0"/>
    <x v="2"/>
    <x v="2"/>
    <s v="Yes"/>
    <n v="0"/>
    <s v="NoCar"/>
    <x v="2"/>
    <x v="2"/>
    <n v="52"/>
    <x v="1"/>
  </r>
  <r>
    <n v="607"/>
    <s v="Single"/>
    <x v="1"/>
    <n v="40000"/>
    <n v="2"/>
    <x v="0"/>
    <x v="0"/>
    <x v="0"/>
    <s v="Yes"/>
    <n v="0"/>
    <s v="NoCar"/>
    <x v="1"/>
    <x v="2"/>
    <n v="36"/>
    <x v="0"/>
  </r>
  <r>
    <n v="608"/>
    <s v="Single"/>
    <x v="0"/>
    <n v="70000"/>
    <n v="5"/>
    <x v="0"/>
    <x v="4"/>
    <x v="2"/>
    <s v="Yes"/>
    <n v="3"/>
    <s v="Have Car"/>
    <x v="4"/>
    <x v="2"/>
    <n v="46"/>
    <x v="1"/>
  </r>
  <r>
    <n v="609"/>
    <s v="Married"/>
    <x v="1"/>
    <n v="60000"/>
    <n v="3"/>
    <x v="0"/>
    <x v="3"/>
    <x v="0"/>
    <s v="Yes"/>
    <n v="2"/>
    <s v="Have Car"/>
    <x v="2"/>
    <x v="2"/>
    <n v="52"/>
    <x v="1"/>
  </r>
  <r>
    <n v="610"/>
    <s v="Married"/>
    <x v="1"/>
    <n v="70000"/>
    <n v="0"/>
    <x v="1"/>
    <x v="0"/>
    <x v="2"/>
    <s v="No"/>
    <n v="1"/>
    <s v="Have Car"/>
    <x v="0"/>
    <x v="2"/>
    <n v="43"/>
    <x v="0"/>
  </r>
  <r>
    <n v="611"/>
    <s v="Married"/>
    <x v="1"/>
    <n v="60000"/>
    <n v="1"/>
    <x v="0"/>
    <x v="1"/>
    <x v="0"/>
    <s v="Yes"/>
    <n v="1"/>
    <s v="Have Car"/>
    <x v="1"/>
    <x v="2"/>
    <n v="44"/>
    <x v="0"/>
  </r>
  <r>
    <n v="612"/>
    <s v="Married"/>
    <x v="0"/>
    <n v="80000"/>
    <n v="0"/>
    <x v="1"/>
    <x v="0"/>
    <x v="4"/>
    <s v="Yes"/>
    <n v="1"/>
    <s v="Have Car"/>
    <x v="3"/>
    <x v="2"/>
    <n v="34"/>
    <x v="1"/>
  </r>
  <r>
    <n v="613"/>
    <s v="Single"/>
    <x v="0"/>
    <n v="30000"/>
    <n v="0"/>
    <x v="1"/>
    <x v="3"/>
    <x v="1"/>
    <s v="Yes"/>
    <n v="2"/>
    <s v="Have Car"/>
    <x v="2"/>
    <x v="2"/>
    <n v="27"/>
    <x v="0"/>
  </r>
  <r>
    <n v="614"/>
    <s v="Single"/>
    <x v="1"/>
    <n v="110000"/>
    <n v="1"/>
    <x v="0"/>
    <x v="1"/>
    <x v="2"/>
    <s v="Yes"/>
    <n v="4"/>
    <s v="Have Car"/>
    <x v="2"/>
    <x v="2"/>
    <n v="45"/>
    <x v="1"/>
  </r>
  <r>
    <n v="615"/>
    <s v="Married"/>
    <x v="0"/>
    <n v="100000"/>
    <n v="3"/>
    <x v="0"/>
    <x v="1"/>
    <x v="2"/>
    <s v="Yes"/>
    <n v="4"/>
    <s v="Have Car"/>
    <x v="3"/>
    <x v="2"/>
    <n v="45"/>
    <x v="0"/>
  </r>
  <r>
    <n v="616"/>
    <s v="Single"/>
    <x v="0"/>
    <n v="60000"/>
    <n v="4"/>
    <x v="0"/>
    <x v="4"/>
    <x v="0"/>
    <s v="No"/>
    <n v="0"/>
    <s v="NoCar"/>
    <x v="0"/>
    <x v="2"/>
    <n v="47"/>
    <x v="1"/>
  </r>
  <r>
    <n v="617"/>
    <s v="Single"/>
    <x v="0"/>
    <n v="80000"/>
    <n v="4"/>
    <x v="0"/>
    <x v="4"/>
    <x v="0"/>
    <s v="Yes"/>
    <n v="0"/>
    <s v="NoCar"/>
    <x v="3"/>
    <x v="2"/>
    <n v="47"/>
    <x v="0"/>
  </r>
  <r>
    <n v="618"/>
    <s v="Married"/>
    <x v="1"/>
    <n v="40000"/>
    <n v="4"/>
    <x v="0"/>
    <x v="2"/>
    <x v="0"/>
    <s v="Yes"/>
    <n v="2"/>
    <s v="Have Car"/>
    <x v="1"/>
    <x v="2"/>
    <n v="44"/>
    <x v="1"/>
  </r>
  <r>
    <n v="619"/>
    <s v="Single"/>
    <x v="0"/>
    <n v="20000"/>
    <n v="3"/>
    <x v="0"/>
    <x v="3"/>
    <x v="1"/>
    <s v="No"/>
    <n v="2"/>
    <s v="Have Car"/>
    <x v="0"/>
    <x v="2"/>
    <n v="49"/>
    <x v="0"/>
  </r>
  <r>
    <n v="620"/>
    <s v="Single"/>
    <x v="0"/>
    <n v="40000"/>
    <n v="0"/>
    <x v="1"/>
    <x v="2"/>
    <x v="0"/>
    <s v="Yes"/>
    <n v="1"/>
    <s v="Have Car"/>
    <x v="2"/>
    <x v="2"/>
    <n v="30"/>
    <x v="0"/>
  </r>
  <r>
    <n v="621"/>
    <s v="Married"/>
    <x v="0"/>
    <n v="100000"/>
    <n v="4"/>
    <x v="0"/>
    <x v="1"/>
    <x v="2"/>
    <s v="Yes"/>
    <n v="4"/>
    <s v="Have Car"/>
    <x v="1"/>
    <x v="2"/>
    <n v="41"/>
    <x v="1"/>
  </r>
  <r>
    <n v="622"/>
    <s v="Married"/>
    <x v="1"/>
    <n v="70000"/>
    <n v="4"/>
    <x v="0"/>
    <x v="0"/>
    <x v="4"/>
    <s v="Yes"/>
    <n v="1"/>
    <s v="Have Car"/>
    <x v="3"/>
    <x v="2"/>
    <n v="58"/>
    <x v="0"/>
  </r>
  <r>
    <n v="623"/>
    <s v="Married"/>
    <x v="1"/>
    <n v="60000"/>
    <n v="5"/>
    <x v="0"/>
    <x v="0"/>
    <x v="2"/>
    <s v="Yes"/>
    <n v="1"/>
    <s v="Have Car"/>
    <x v="1"/>
    <x v="2"/>
    <n v="47"/>
    <x v="0"/>
  </r>
  <r>
    <n v="624"/>
    <s v="Married"/>
    <x v="0"/>
    <n v="70000"/>
    <n v="4"/>
    <x v="0"/>
    <x v="1"/>
    <x v="2"/>
    <s v="Yes"/>
    <n v="1"/>
    <s v="Have Car"/>
    <x v="3"/>
    <x v="2"/>
    <n v="55"/>
    <x v="0"/>
  </r>
  <r>
    <n v="625"/>
    <s v="Single"/>
    <x v="0"/>
    <n v="70000"/>
    <n v="0"/>
    <x v="1"/>
    <x v="1"/>
    <x v="0"/>
    <s v="No"/>
    <n v="2"/>
    <s v="Have Car"/>
    <x v="0"/>
    <x v="2"/>
    <n v="27"/>
    <x v="1"/>
  </r>
  <r>
    <n v="626"/>
    <s v="Married"/>
    <x v="1"/>
    <n v="60000"/>
    <n v="3"/>
    <x v="0"/>
    <x v="4"/>
    <x v="4"/>
    <s v="Yes"/>
    <n v="2"/>
    <s v="Have Car"/>
    <x v="3"/>
    <x v="2"/>
    <n v="67"/>
    <x v="0"/>
  </r>
  <r>
    <n v="627"/>
    <s v="Married"/>
    <x v="0"/>
    <n v="60000"/>
    <n v="0"/>
    <x v="1"/>
    <x v="1"/>
    <x v="0"/>
    <s v="Yes"/>
    <n v="2"/>
    <s v="Have Car"/>
    <x v="2"/>
    <x v="2"/>
    <n v="29"/>
    <x v="0"/>
  </r>
  <r>
    <n v="628"/>
    <s v="Married"/>
    <x v="0"/>
    <n v="60000"/>
    <n v="3"/>
    <x v="0"/>
    <x v="4"/>
    <x v="4"/>
    <s v="Yes"/>
    <n v="2"/>
    <s v="Have Car"/>
    <x v="3"/>
    <x v="2"/>
    <n v="67"/>
    <x v="0"/>
  </r>
  <r>
    <n v="629"/>
    <s v="Single"/>
    <x v="1"/>
    <n v="80000"/>
    <n v="3"/>
    <x v="0"/>
    <x v="1"/>
    <x v="2"/>
    <s v="No"/>
    <n v="1"/>
    <s v="Have Car"/>
    <x v="3"/>
    <x v="2"/>
    <n v="51"/>
    <x v="1"/>
  </r>
  <r>
    <n v="630"/>
    <s v="Married"/>
    <x v="0"/>
    <n v="50000"/>
    <n v="1"/>
    <x v="0"/>
    <x v="4"/>
    <x v="0"/>
    <s v="Yes"/>
    <n v="0"/>
    <s v="NoCar"/>
    <x v="0"/>
    <x v="2"/>
    <n v="35"/>
    <x v="0"/>
  </r>
  <r>
    <n v="631"/>
    <s v="Married"/>
    <x v="1"/>
    <n v="40000"/>
    <n v="0"/>
    <x v="1"/>
    <x v="2"/>
    <x v="0"/>
    <s v="No"/>
    <n v="2"/>
    <s v="Have Car"/>
    <x v="3"/>
    <x v="2"/>
    <n v="30"/>
    <x v="0"/>
  </r>
  <r>
    <n v="632"/>
    <s v="Single"/>
    <x v="1"/>
    <n v="70000"/>
    <n v="5"/>
    <x v="0"/>
    <x v="1"/>
    <x v="2"/>
    <s v="Yes"/>
    <n v="3"/>
    <s v="Have Car"/>
    <x v="1"/>
    <x v="2"/>
    <n v="44"/>
    <x v="0"/>
  </r>
  <r>
    <n v="633"/>
    <s v="Single"/>
    <x v="0"/>
    <n v="80000"/>
    <n v="4"/>
    <x v="0"/>
    <x v="4"/>
    <x v="0"/>
    <s v="Yes"/>
    <n v="0"/>
    <s v="NoCar"/>
    <x v="3"/>
    <x v="2"/>
    <n v="48"/>
    <x v="0"/>
  </r>
  <r>
    <n v="634"/>
    <s v="Married"/>
    <x v="0"/>
    <n v="130000"/>
    <n v="1"/>
    <x v="0"/>
    <x v="0"/>
    <x v="4"/>
    <s v="Yes"/>
    <n v="2"/>
    <s v="Have Car"/>
    <x v="0"/>
    <x v="2"/>
    <n v="45"/>
    <x v="1"/>
  </r>
  <r>
    <n v="635"/>
    <s v="Married"/>
    <x v="1"/>
    <n v="60000"/>
    <n v="3"/>
    <x v="0"/>
    <x v="0"/>
    <x v="4"/>
    <s v="No"/>
    <n v="2"/>
    <s v="Have Car"/>
    <x v="3"/>
    <x v="2"/>
    <n v="66"/>
    <x v="0"/>
  </r>
  <r>
    <n v="636"/>
    <s v="Single"/>
    <x v="0"/>
    <n v="30000"/>
    <n v="2"/>
    <x v="0"/>
    <x v="2"/>
    <x v="0"/>
    <s v="No"/>
    <n v="2"/>
    <s v="Have Car"/>
    <x v="0"/>
    <x v="2"/>
    <n v="49"/>
    <x v="0"/>
  </r>
  <r>
    <n v="637"/>
    <s v="Single"/>
    <x v="0"/>
    <n v="120000"/>
    <n v="4"/>
    <x v="0"/>
    <x v="1"/>
    <x v="2"/>
    <s v="Yes"/>
    <n v="3"/>
    <s v="Have Car"/>
    <x v="2"/>
    <x v="2"/>
    <n v="43"/>
    <x v="1"/>
  </r>
  <r>
    <n v="638"/>
    <s v="Single"/>
    <x v="1"/>
    <n v="40000"/>
    <n v="0"/>
    <x v="1"/>
    <x v="2"/>
    <x v="0"/>
    <s v="No"/>
    <n v="2"/>
    <s v="Have Car"/>
    <x v="3"/>
    <x v="2"/>
    <n v="30"/>
    <x v="0"/>
  </r>
  <r>
    <n v="639"/>
    <s v="Single"/>
    <x v="1"/>
    <n v="70000"/>
    <n v="0"/>
    <x v="1"/>
    <x v="4"/>
    <x v="4"/>
    <s v="Yes"/>
    <n v="2"/>
    <s v="Have Car"/>
    <x v="2"/>
    <x v="2"/>
    <n v="74"/>
    <x v="1"/>
  </r>
  <r>
    <n v="640"/>
    <s v="Married"/>
    <x v="1"/>
    <n v="100000"/>
    <n v="2"/>
    <x v="0"/>
    <x v="4"/>
    <x v="4"/>
    <s v="Yes"/>
    <n v="3"/>
    <s v="Have Car"/>
    <x v="3"/>
    <x v="2"/>
    <n v="65"/>
    <x v="0"/>
  </r>
  <r>
    <n v="641"/>
    <s v="Married"/>
    <x v="0"/>
    <n v="60000"/>
    <n v="2"/>
    <x v="0"/>
    <x v="1"/>
    <x v="2"/>
    <s v="Yes"/>
    <n v="2"/>
    <s v="Have Car"/>
    <x v="1"/>
    <x v="2"/>
    <n v="56"/>
    <x v="1"/>
  </r>
  <r>
    <n v="642"/>
    <s v="Married"/>
    <x v="1"/>
    <n v="50000"/>
    <n v="4"/>
    <x v="0"/>
    <x v="0"/>
    <x v="4"/>
    <s v="Yes"/>
    <n v="2"/>
    <s v="Have Car"/>
    <x v="4"/>
    <x v="2"/>
    <n v="64"/>
    <x v="0"/>
  </r>
  <r>
    <n v="643"/>
    <s v="Married"/>
    <x v="0"/>
    <n v="70000"/>
    <n v="3"/>
    <x v="0"/>
    <x v="1"/>
    <x v="2"/>
    <s v="Yes"/>
    <n v="2"/>
    <s v="Have Car"/>
    <x v="2"/>
    <x v="2"/>
    <n v="50"/>
    <x v="1"/>
  </r>
  <r>
    <n v="644"/>
    <s v="Married"/>
    <x v="0"/>
    <n v="70000"/>
    <n v="3"/>
    <x v="0"/>
    <x v="4"/>
    <x v="2"/>
    <s v="Yes"/>
    <n v="0"/>
    <s v="NoCar"/>
    <x v="1"/>
    <x v="2"/>
    <n v="35"/>
    <x v="1"/>
  </r>
  <r>
    <n v="645"/>
    <s v="Married"/>
    <x v="0"/>
    <n v="60000"/>
    <n v="5"/>
    <x v="0"/>
    <x v="0"/>
    <x v="0"/>
    <s v="Yes"/>
    <n v="3"/>
    <s v="Have Car"/>
    <x v="4"/>
    <x v="2"/>
    <n v="41"/>
    <x v="0"/>
  </r>
  <r>
    <n v="646"/>
    <s v="Single"/>
    <x v="0"/>
    <n v="60000"/>
    <n v="0"/>
    <x v="1"/>
    <x v="4"/>
    <x v="0"/>
    <s v="Yes"/>
    <n v="0"/>
    <s v="NoCar"/>
    <x v="0"/>
    <x v="2"/>
    <n v="39"/>
    <x v="0"/>
  </r>
  <r>
    <n v="647"/>
    <s v="Single"/>
    <x v="0"/>
    <n v="60000"/>
    <n v="4"/>
    <x v="0"/>
    <x v="4"/>
    <x v="0"/>
    <s v="No"/>
    <n v="0"/>
    <s v="NoCar"/>
    <x v="3"/>
    <x v="2"/>
    <n v="47"/>
    <x v="0"/>
  </r>
  <r>
    <n v="648"/>
    <s v="Single"/>
    <x v="1"/>
    <n v="40000"/>
    <n v="0"/>
    <x v="1"/>
    <x v="2"/>
    <x v="0"/>
    <s v="Yes"/>
    <n v="2"/>
    <s v="Have Car"/>
    <x v="2"/>
    <x v="2"/>
    <n v="31"/>
    <x v="0"/>
  </r>
  <r>
    <n v="649"/>
    <s v="Single"/>
    <x v="0"/>
    <n v="70000"/>
    <n v="2"/>
    <x v="0"/>
    <x v="0"/>
    <x v="4"/>
    <s v="No"/>
    <n v="1"/>
    <s v="Have Car"/>
    <x v="1"/>
    <x v="2"/>
    <n v="58"/>
    <x v="1"/>
  </r>
  <r>
    <n v="650"/>
    <s v="Single"/>
    <x v="0"/>
    <n v="70000"/>
    <n v="0"/>
    <x v="1"/>
    <x v="0"/>
    <x v="2"/>
    <s v="No"/>
    <n v="1"/>
    <s v="Have Car"/>
    <x v="1"/>
    <x v="2"/>
    <n v="38"/>
    <x v="1"/>
  </r>
  <r>
    <n v="651"/>
    <s v="Single"/>
    <x v="0"/>
    <n v="70000"/>
    <n v="5"/>
    <x v="0"/>
    <x v="4"/>
    <x v="4"/>
    <s v="Yes"/>
    <n v="2"/>
    <s v="Have Car"/>
    <x v="4"/>
    <x v="2"/>
    <n v="67"/>
    <x v="1"/>
  </r>
  <r>
    <n v="652"/>
    <s v="Single"/>
    <x v="1"/>
    <n v="60000"/>
    <n v="0"/>
    <x v="1"/>
    <x v="1"/>
    <x v="2"/>
    <s v="No"/>
    <n v="2"/>
    <s v="Have Car"/>
    <x v="3"/>
    <x v="2"/>
    <n v="32"/>
    <x v="1"/>
  </r>
  <r>
    <n v="653"/>
    <s v="Married"/>
    <x v="1"/>
    <n v="70000"/>
    <n v="5"/>
    <x v="0"/>
    <x v="1"/>
    <x v="2"/>
    <s v="No"/>
    <n v="3"/>
    <s v="Have Car"/>
    <x v="2"/>
    <x v="2"/>
    <n v="45"/>
    <x v="0"/>
  </r>
  <r>
    <n v="654"/>
    <s v="Single"/>
    <x v="1"/>
    <n v="30000"/>
    <n v="0"/>
    <x v="1"/>
    <x v="2"/>
    <x v="0"/>
    <s v="No"/>
    <n v="2"/>
    <s v="Have Car"/>
    <x v="3"/>
    <x v="2"/>
    <n v="31"/>
    <x v="1"/>
  </r>
  <r>
    <n v="655"/>
    <s v="Single"/>
    <x v="1"/>
    <n v="40000"/>
    <n v="0"/>
    <x v="1"/>
    <x v="2"/>
    <x v="0"/>
    <s v="No"/>
    <n v="2"/>
    <s v="Have Car"/>
    <x v="3"/>
    <x v="2"/>
    <n v="31"/>
    <x v="1"/>
  </r>
  <r>
    <n v="656"/>
    <s v="Married"/>
    <x v="0"/>
    <n v="40000"/>
    <n v="3"/>
    <x v="0"/>
    <x v="1"/>
    <x v="1"/>
    <s v="Yes"/>
    <n v="1"/>
    <s v="Have Car"/>
    <x v="0"/>
    <x v="2"/>
    <n v="31"/>
    <x v="0"/>
  </r>
  <r>
    <n v="657"/>
    <s v="Married"/>
    <x v="1"/>
    <n v="60000"/>
    <n v="2"/>
    <x v="0"/>
    <x v="2"/>
    <x v="2"/>
    <s v="No"/>
    <n v="2"/>
    <s v="Have Car"/>
    <x v="2"/>
    <x v="2"/>
    <n v="50"/>
    <x v="0"/>
  </r>
  <r>
    <n v="658"/>
    <s v="Married"/>
    <x v="1"/>
    <n v="70000"/>
    <n v="1"/>
    <x v="0"/>
    <x v="1"/>
    <x v="0"/>
    <s v="Yes"/>
    <n v="1"/>
    <s v="Have Car"/>
    <x v="0"/>
    <x v="2"/>
    <n v="44"/>
    <x v="0"/>
  </r>
  <r>
    <n v="659"/>
    <s v="Single"/>
    <x v="1"/>
    <n v="50000"/>
    <n v="2"/>
    <x v="0"/>
    <x v="0"/>
    <x v="0"/>
    <s v="Yes"/>
    <n v="1"/>
    <s v="Have Car"/>
    <x v="1"/>
    <x v="2"/>
    <n v="38"/>
    <x v="1"/>
  </r>
  <r>
    <n v="660"/>
    <s v="Single"/>
    <x v="0"/>
    <n v="60000"/>
    <n v="4"/>
    <x v="0"/>
    <x v="0"/>
    <x v="4"/>
    <s v="Yes"/>
    <n v="2"/>
    <s v="Have Car"/>
    <x v="4"/>
    <x v="2"/>
    <n v="63"/>
    <x v="0"/>
  </r>
  <r>
    <n v="661"/>
    <s v="Married"/>
    <x v="0"/>
    <n v="60000"/>
    <n v="1"/>
    <x v="0"/>
    <x v="4"/>
    <x v="2"/>
    <s v="Yes"/>
    <n v="0"/>
    <s v="NoCar"/>
    <x v="1"/>
    <x v="2"/>
    <n v="36"/>
    <x v="1"/>
  </r>
  <r>
    <n v="662"/>
    <s v="Single"/>
    <x v="1"/>
    <n v="40000"/>
    <n v="0"/>
    <x v="1"/>
    <x v="2"/>
    <x v="0"/>
    <s v="No"/>
    <n v="2"/>
    <s v="Have Car"/>
    <x v="0"/>
    <x v="2"/>
    <n v="28"/>
    <x v="1"/>
  </r>
  <r>
    <n v="663"/>
    <s v="Single"/>
    <x v="0"/>
    <n v="100000"/>
    <n v="1"/>
    <x v="0"/>
    <x v="1"/>
    <x v="2"/>
    <s v="No"/>
    <n v="3"/>
    <s v="Have Car"/>
    <x v="3"/>
    <x v="2"/>
    <n v="44"/>
    <x v="0"/>
  </r>
  <r>
    <n v="664"/>
    <s v="Married"/>
    <x v="0"/>
    <n v="70000"/>
    <n v="5"/>
    <x v="0"/>
    <x v="4"/>
    <x v="2"/>
    <s v="Yes"/>
    <n v="1"/>
    <s v="Have Car"/>
    <x v="0"/>
    <x v="2"/>
    <n v="47"/>
    <x v="0"/>
  </r>
  <r>
    <n v="665"/>
    <s v="Married"/>
    <x v="0"/>
    <n v="80000"/>
    <n v="0"/>
    <x v="1"/>
    <x v="4"/>
    <x v="0"/>
    <s v="Yes"/>
    <n v="0"/>
    <s v="NoCar"/>
    <x v="3"/>
    <x v="2"/>
    <n v="40"/>
    <x v="1"/>
  </r>
  <r>
    <n v="666"/>
    <s v="Married"/>
    <x v="1"/>
    <n v="130000"/>
    <n v="1"/>
    <x v="0"/>
    <x v="4"/>
    <x v="4"/>
    <s v="Yes"/>
    <n v="4"/>
    <s v="Have Car"/>
    <x v="0"/>
    <x v="2"/>
    <n v="40"/>
    <x v="0"/>
  </r>
  <r>
    <n v="667"/>
    <s v="Married"/>
    <x v="0"/>
    <n v="60000"/>
    <n v="1"/>
    <x v="0"/>
    <x v="1"/>
    <x v="0"/>
    <s v="Yes"/>
    <n v="1"/>
    <s v="Have Car"/>
    <x v="1"/>
    <x v="2"/>
    <n v="46"/>
    <x v="1"/>
  </r>
  <r>
    <n v="668"/>
    <s v="Married"/>
    <x v="0"/>
    <n v="40000"/>
    <n v="5"/>
    <x v="0"/>
    <x v="2"/>
    <x v="2"/>
    <s v="No"/>
    <n v="2"/>
    <s v="Have Car"/>
    <x v="4"/>
    <x v="2"/>
    <n v="61"/>
    <x v="0"/>
  </r>
  <r>
    <n v="669"/>
    <s v="Married"/>
    <x v="0"/>
    <n v="60000"/>
    <n v="0"/>
    <x v="1"/>
    <x v="4"/>
    <x v="2"/>
    <s v="Yes"/>
    <n v="0"/>
    <s v="NoCar"/>
    <x v="0"/>
    <x v="2"/>
    <n v="40"/>
    <x v="0"/>
  </r>
  <r>
    <n v="670"/>
    <s v="Married"/>
    <x v="0"/>
    <n v="60000"/>
    <n v="2"/>
    <x v="0"/>
    <x v="2"/>
    <x v="2"/>
    <s v="Yes"/>
    <n v="2"/>
    <s v="Have Car"/>
    <x v="2"/>
    <x v="2"/>
    <n v="50"/>
    <x v="0"/>
  </r>
  <r>
    <n v="671"/>
    <s v="Married"/>
    <x v="1"/>
    <n v="70000"/>
    <n v="2"/>
    <x v="0"/>
    <x v="1"/>
    <x v="2"/>
    <s v="Yes"/>
    <n v="1"/>
    <s v="Have Car"/>
    <x v="4"/>
    <x v="2"/>
    <n v="59"/>
    <x v="0"/>
  </r>
  <r>
    <n v="672"/>
    <s v="Single"/>
    <x v="0"/>
    <n v="60000"/>
    <n v="1"/>
    <x v="0"/>
    <x v="4"/>
    <x v="2"/>
    <s v="Yes"/>
    <n v="0"/>
    <s v="NoCar"/>
    <x v="1"/>
    <x v="2"/>
    <n v="36"/>
    <x v="1"/>
  </r>
  <r>
    <n v="673"/>
    <s v="Single"/>
    <x v="0"/>
    <n v="40000"/>
    <n v="0"/>
    <x v="1"/>
    <x v="2"/>
    <x v="0"/>
    <s v="Yes"/>
    <n v="2"/>
    <s v="Have Car"/>
    <x v="2"/>
    <x v="2"/>
    <n v="30"/>
    <x v="0"/>
  </r>
  <r>
    <n v="674"/>
    <s v="Single"/>
    <x v="0"/>
    <n v="70000"/>
    <n v="4"/>
    <x v="0"/>
    <x v="4"/>
    <x v="2"/>
    <s v="Yes"/>
    <n v="0"/>
    <s v="NoCar"/>
    <x v="1"/>
    <x v="2"/>
    <n v="35"/>
    <x v="1"/>
  </r>
  <r>
    <n v="675"/>
    <s v="Married"/>
    <x v="0"/>
    <n v="30000"/>
    <n v="2"/>
    <x v="0"/>
    <x v="2"/>
    <x v="0"/>
    <s v="Yes"/>
    <n v="2"/>
    <s v="Have Car"/>
    <x v="3"/>
    <x v="2"/>
    <n v="48"/>
    <x v="0"/>
  </r>
  <r>
    <n v="676"/>
    <s v="Married"/>
    <x v="1"/>
    <n v="100000"/>
    <n v="3"/>
    <x v="0"/>
    <x v="0"/>
    <x v="4"/>
    <s v="Yes"/>
    <n v="4"/>
    <s v="Have Car"/>
    <x v="0"/>
    <x v="2"/>
    <n v="41"/>
    <x v="0"/>
  </r>
  <r>
    <n v="677"/>
    <s v="Married"/>
    <x v="1"/>
    <n v="40000"/>
    <n v="2"/>
    <x v="0"/>
    <x v="1"/>
    <x v="1"/>
    <s v="Yes"/>
    <n v="1"/>
    <s v="Have Car"/>
    <x v="0"/>
    <x v="2"/>
    <n v="47"/>
    <x v="0"/>
  </r>
  <r>
    <n v="678"/>
    <s v="Married"/>
    <x v="1"/>
    <n v="60000"/>
    <n v="4"/>
    <x v="0"/>
    <x v="4"/>
    <x v="0"/>
    <s v="No"/>
    <n v="0"/>
    <s v="NoCar"/>
    <x v="0"/>
    <x v="2"/>
    <n v="47"/>
    <x v="0"/>
  </r>
  <r>
    <n v="679"/>
    <s v="Married"/>
    <x v="1"/>
    <n v="80000"/>
    <n v="5"/>
    <x v="0"/>
    <x v="0"/>
    <x v="4"/>
    <s v="No"/>
    <n v="2"/>
    <s v="Have Car"/>
    <x v="1"/>
    <x v="0"/>
    <n v="62"/>
    <x v="0"/>
  </r>
  <r>
    <n v="680"/>
    <s v="Married"/>
    <x v="1"/>
    <n v="60000"/>
    <n v="4"/>
    <x v="0"/>
    <x v="0"/>
    <x v="4"/>
    <s v="Yes"/>
    <n v="2"/>
    <s v="Have Car"/>
    <x v="4"/>
    <x v="2"/>
    <n v="60"/>
    <x v="0"/>
  </r>
  <r>
    <n v="681"/>
    <s v="Married"/>
    <x v="0"/>
    <n v="60000"/>
    <n v="0"/>
    <x v="1"/>
    <x v="1"/>
    <x v="0"/>
    <s v="No"/>
    <n v="1"/>
    <s v="Have Car"/>
    <x v="3"/>
    <x v="2"/>
    <n v="33"/>
    <x v="0"/>
  </r>
  <r>
    <n v="682"/>
    <s v="Single"/>
    <x v="0"/>
    <n v="80000"/>
    <n v="4"/>
    <x v="0"/>
    <x v="4"/>
    <x v="0"/>
    <s v="No"/>
    <n v="0"/>
    <s v="NoCar"/>
    <x v="0"/>
    <x v="2"/>
    <n v="47"/>
    <x v="0"/>
  </r>
  <r>
    <n v="683"/>
    <s v="Married"/>
    <x v="1"/>
    <n v="20000"/>
    <n v="3"/>
    <x v="0"/>
    <x v="3"/>
    <x v="1"/>
    <s v="No"/>
    <n v="2"/>
    <s v="Have Car"/>
    <x v="0"/>
    <x v="2"/>
    <n v="52"/>
    <x v="0"/>
  </r>
  <r>
    <n v="684"/>
    <s v="Married"/>
    <x v="0"/>
    <n v="90000"/>
    <n v="5"/>
    <x v="0"/>
    <x v="1"/>
    <x v="2"/>
    <s v="Yes"/>
    <n v="3"/>
    <s v="Have Car"/>
    <x v="1"/>
    <x v="2"/>
    <n v="40"/>
    <x v="0"/>
  </r>
  <r>
    <n v="685"/>
    <s v="Single"/>
    <x v="0"/>
    <n v="60000"/>
    <n v="4"/>
    <x v="0"/>
    <x v="0"/>
    <x v="0"/>
    <s v="No"/>
    <n v="2"/>
    <s v="Have Car"/>
    <x v="0"/>
    <x v="2"/>
    <n v="42"/>
    <x v="0"/>
  </r>
  <r>
    <n v="686"/>
    <s v="Single"/>
    <x v="0"/>
    <n v="60000"/>
    <n v="3"/>
    <x v="0"/>
    <x v="4"/>
    <x v="4"/>
    <s v="Yes"/>
    <n v="2"/>
    <s v="Have Car"/>
    <x v="2"/>
    <x v="2"/>
    <n v="53"/>
    <x v="1"/>
  </r>
  <r>
    <n v="687"/>
    <s v="Married"/>
    <x v="0"/>
    <n v="40000"/>
    <n v="1"/>
    <x v="0"/>
    <x v="1"/>
    <x v="1"/>
    <s v="Yes"/>
    <n v="1"/>
    <s v="Have Car"/>
    <x v="3"/>
    <x v="2"/>
    <n v="51"/>
    <x v="1"/>
  </r>
  <r>
    <n v="688"/>
    <s v="Single"/>
    <x v="1"/>
    <n v="30000"/>
    <n v="0"/>
    <x v="1"/>
    <x v="1"/>
    <x v="0"/>
    <s v="Yes"/>
    <n v="2"/>
    <s v="Have Car"/>
    <x v="2"/>
    <x v="2"/>
    <n v="30"/>
    <x v="0"/>
  </r>
  <r>
    <n v="689"/>
    <s v="Single"/>
    <x v="1"/>
    <n v="60000"/>
    <n v="0"/>
    <x v="1"/>
    <x v="0"/>
    <x v="0"/>
    <s v="No"/>
    <n v="2"/>
    <s v="Have Car"/>
    <x v="0"/>
    <x v="2"/>
    <n v="30"/>
    <x v="0"/>
  </r>
  <r>
    <n v="690"/>
    <s v="Married"/>
    <x v="1"/>
    <n v="30000"/>
    <n v="0"/>
    <x v="1"/>
    <x v="2"/>
    <x v="0"/>
    <s v="Yes"/>
    <n v="2"/>
    <s v="Have Car"/>
    <x v="2"/>
    <x v="2"/>
    <n v="26"/>
    <x v="0"/>
  </r>
  <r>
    <n v="691"/>
    <s v="Single"/>
    <x v="0"/>
    <n v="130000"/>
    <n v="1"/>
    <x v="0"/>
    <x v="0"/>
    <x v="4"/>
    <s v="No"/>
    <n v="1"/>
    <s v="Have Car"/>
    <x v="1"/>
    <x v="2"/>
    <n v="45"/>
    <x v="0"/>
  </r>
  <r>
    <n v="692"/>
    <s v="Married"/>
    <x v="1"/>
    <n v="50000"/>
    <n v="1"/>
    <x v="0"/>
    <x v="0"/>
    <x v="0"/>
    <s v="Yes"/>
    <n v="0"/>
    <s v="NoCar"/>
    <x v="0"/>
    <x v="2"/>
    <n v="34"/>
    <x v="1"/>
  </r>
  <r>
    <n v="693"/>
    <s v="Married"/>
    <x v="1"/>
    <n v="70000"/>
    <n v="1"/>
    <x v="0"/>
    <x v="0"/>
    <x v="2"/>
    <s v="Yes"/>
    <n v="1"/>
    <s v="Have Car"/>
    <x v="1"/>
    <x v="2"/>
    <n v="44"/>
    <x v="1"/>
  </r>
  <r>
    <n v="694"/>
    <s v="Single"/>
    <x v="0"/>
    <n v="60000"/>
    <n v="4"/>
    <x v="0"/>
    <x v="0"/>
    <x v="0"/>
    <s v="No"/>
    <n v="2"/>
    <s v="Have Car"/>
    <x v="0"/>
    <x v="2"/>
    <n v="41"/>
    <x v="1"/>
  </r>
  <r>
    <n v="695"/>
    <s v="Single"/>
    <x v="0"/>
    <n v="80000"/>
    <n v="3"/>
    <x v="0"/>
    <x v="4"/>
    <x v="2"/>
    <s v="No"/>
    <n v="0"/>
    <s v="NoCar"/>
    <x v="0"/>
    <x v="2"/>
    <n v="36"/>
    <x v="1"/>
  </r>
  <r>
    <n v="696"/>
    <s v="Married"/>
    <x v="1"/>
    <n v="80000"/>
    <n v="5"/>
    <x v="0"/>
    <x v="1"/>
    <x v="2"/>
    <s v="Yes"/>
    <n v="2"/>
    <s v="Have Car"/>
    <x v="0"/>
    <x v="2"/>
    <n v="44"/>
    <x v="0"/>
  </r>
  <r>
    <n v="697"/>
    <s v="Single"/>
    <x v="1"/>
    <n v="60000"/>
    <n v="0"/>
    <x v="1"/>
    <x v="1"/>
    <x v="2"/>
    <s v="No"/>
    <n v="2"/>
    <s v="Have Car"/>
    <x v="3"/>
    <x v="2"/>
    <n v="30"/>
    <x v="0"/>
  </r>
  <r>
    <n v="698"/>
    <s v="Married"/>
    <x v="0"/>
    <n v="30000"/>
    <n v="0"/>
    <x v="1"/>
    <x v="3"/>
    <x v="1"/>
    <s v="No"/>
    <n v="2"/>
    <s v="Have Car"/>
    <x v="0"/>
    <x v="2"/>
    <n v="28"/>
    <x v="0"/>
  </r>
  <r>
    <n v="699"/>
    <s v="Married"/>
    <x v="1"/>
    <n v="20000"/>
    <n v="2"/>
    <x v="0"/>
    <x v="3"/>
    <x v="1"/>
    <s v="Yes"/>
    <n v="2"/>
    <s v="Have Car"/>
    <x v="3"/>
    <x v="2"/>
    <n v="49"/>
    <x v="0"/>
  </r>
  <r>
    <n v="700"/>
    <s v="Single"/>
    <x v="1"/>
    <n v="90000"/>
    <n v="0"/>
    <x v="1"/>
    <x v="1"/>
    <x v="2"/>
    <s v="No"/>
    <n v="2"/>
    <s v="Have Car"/>
    <x v="0"/>
    <x v="2"/>
    <n v="43"/>
    <x v="1"/>
  </r>
  <r>
    <n v="701"/>
    <s v="Married"/>
    <x v="0"/>
    <n v="70000"/>
    <n v="4"/>
    <x v="0"/>
    <x v="0"/>
    <x v="4"/>
    <s v="Yes"/>
    <n v="1"/>
    <s v="Have Car"/>
    <x v="3"/>
    <x v="2"/>
    <n v="59"/>
    <x v="0"/>
  </r>
  <r>
    <n v="702"/>
    <s v="Single"/>
    <x v="1"/>
    <n v="30000"/>
    <n v="0"/>
    <x v="1"/>
    <x v="2"/>
    <x v="0"/>
    <s v="Yes"/>
    <n v="2"/>
    <s v="Have Car"/>
    <x v="2"/>
    <x v="2"/>
    <n v="26"/>
    <x v="0"/>
  </r>
  <r>
    <n v="703"/>
    <s v="Married"/>
    <x v="1"/>
    <n v="120000"/>
    <n v="1"/>
    <x v="0"/>
    <x v="2"/>
    <x v="2"/>
    <s v="Yes"/>
    <n v="4"/>
    <s v="Have Car"/>
    <x v="2"/>
    <x v="2"/>
    <n v="46"/>
    <x v="1"/>
  </r>
  <r>
    <n v="704"/>
    <s v="Single"/>
    <x v="0"/>
    <n v="50000"/>
    <n v="0"/>
    <x v="1"/>
    <x v="4"/>
    <x v="0"/>
    <s v="Yes"/>
    <n v="0"/>
    <s v="NoCar"/>
    <x v="3"/>
    <x v="2"/>
    <n v="33"/>
    <x v="0"/>
  </r>
  <r>
    <n v="705"/>
    <s v="Single"/>
    <x v="0"/>
    <n v="40000"/>
    <n v="0"/>
    <x v="1"/>
    <x v="0"/>
    <x v="2"/>
    <s v="Yes"/>
    <n v="1"/>
    <s v="Have Car"/>
    <x v="1"/>
    <x v="2"/>
    <n v="42"/>
    <x v="1"/>
  </r>
  <r>
    <n v="706"/>
    <s v="Married"/>
    <x v="0"/>
    <n v="70000"/>
    <n v="4"/>
    <x v="0"/>
    <x v="0"/>
    <x v="4"/>
    <s v="Yes"/>
    <n v="1"/>
    <s v="Have Car"/>
    <x v="4"/>
    <x v="2"/>
    <n v="59"/>
    <x v="0"/>
  </r>
  <r>
    <n v="707"/>
    <s v="Single"/>
    <x v="0"/>
    <n v="60000"/>
    <n v="0"/>
    <x v="1"/>
    <x v="1"/>
    <x v="0"/>
    <s v="No"/>
    <n v="1"/>
    <s v="Have Car"/>
    <x v="3"/>
    <x v="2"/>
    <n v="33"/>
    <x v="1"/>
  </r>
  <r>
    <n v="708"/>
    <s v="Married"/>
    <x v="0"/>
    <n v="70000"/>
    <n v="1"/>
    <x v="0"/>
    <x v="1"/>
    <x v="0"/>
    <s v="Yes"/>
    <n v="1"/>
    <s v="Have Car"/>
    <x v="0"/>
    <x v="2"/>
    <n v="44"/>
    <x v="1"/>
  </r>
  <r>
    <n v="709"/>
    <s v="Married"/>
    <x v="1"/>
    <n v="70000"/>
    <n v="5"/>
    <x v="0"/>
    <x v="0"/>
    <x v="4"/>
    <s v="Yes"/>
    <n v="4"/>
    <s v="Have Car"/>
    <x v="4"/>
    <x v="2"/>
    <n v="60"/>
    <x v="0"/>
  </r>
  <r>
    <n v="710"/>
    <s v="Single"/>
    <x v="0"/>
    <n v="70000"/>
    <n v="2"/>
    <x v="0"/>
    <x v="0"/>
    <x v="4"/>
    <s v="Yes"/>
    <n v="1"/>
    <s v="Have Car"/>
    <x v="4"/>
    <x v="2"/>
    <n v="59"/>
    <x v="0"/>
  </r>
  <r>
    <n v="711"/>
    <s v="Married"/>
    <x v="1"/>
    <n v="60000"/>
    <n v="0"/>
    <x v="1"/>
    <x v="2"/>
    <x v="2"/>
    <s v="Yes"/>
    <n v="2"/>
    <s v="Have Car"/>
    <x v="2"/>
    <x v="2"/>
    <n v="32"/>
    <x v="1"/>
  </r>
  <r>
    <n v="712"/>
    <s v="Married"/>
    <x v="0"/>
    <n v="70000"/>
    <n v="2"/>
    <x v="0"/>
    <x v="1"/>
    <x v="2"/>
    <s v="Yes"/>
    <n v="1"/>
    <s v="Have Car"/>
    <x v="4"/>
    <x v="2"/>
    <n v="58"/>
    <x v="0"/>
  </r>
  <r>
    <n v="713"/>
    <s v="Married"/>
    <x v="0"/>
    <n v="40000"/>
    <n v="2"/>
    <x v="0"/>
    <x v="2"/>
    <x v="2"/>
    <s v="No"/>
    <n v="2"/>
    <s v="Have Car"/>
    <x v="1"/>
    <x v="2"/>
    <n v="59"/>
    <x v="0"/>
  </r>
  <r>
    <n v="714"/>
    <s v="Single"/>
    <x v="0"/>
    <n v="70000"/>
    <n v="2"/>
    <x v="0"/>
    <x v="0"/>
    <x v="0"/>
    <s v="Yes"/>
    <n v="1"/>
    <s v="Have Car"/>
    <x v="1"/>
    <x v="2"/>
    <n v="38"/>
    <x v="0"/>
  </r>
  <r>
    <n v="715"/>
    <s v="Married"/>
    <x v="1"/>
    <n v="40000"/>
    <n v="0"/>
    <x v="1"/>
    <x v="2"/>
    <x v="0"/>
    <s v="Yes"/>
    <n v="2"/>
    <s v="Have Car"/>
    <x v="2"/>
    <x v="2"/>
    <n v="28"/>
    <x v="1"/>
  </r>
  <r>
    <n v="716"/>
    <s v="Married"/>
    <x v="0"/>
    <n v="60000"/>
    <n v="1"/>
    <x v="0"/>
    <x v="4"/>
    <x v="2"/>
    <s v="Yes"/>
    <n v="0"/>
    <s v="NoCar"/>
    <x v="1"/>
    <x v="2"/>
    <n v="37"/>
    <x v="1"/>
  </r>
  <r>
    <n v="717"/>
    <s v="Single"/>
    <x v="0"/>
    <n v="80000"/>
    <n v="0"/>
    <x v="1"/>
    <x v="4"/>
    <x v="0"/>
    <s v="No"/>
    <n v="0"/>
    <s v="NoCar"/>
    <x v="0"/>
    <x v="2"/>
    <n v="40"/>
    <x v="0"/>
  </r>
  <r>
    <n v="718"/>
    <s v="Single"/>
    <x v="1"/>
    <n v="90000"/>
    <n v="4"/>
    <x v="0"/>
    <x v="0"/>
    <x v="4"/>
    <s v="Yes"/>
    <n v="1"/>
    <s v="Have Car"/>
    <x v="3"/>
    <x v="2"/>
    <n v="38"/>
    <x v="1"/>
  </r>
  <r>
    <n v="719"/>
    <s v="Married"/>
    <x v="1"/>
    <n v="70000"/>
    <n v="4"/>
    <x v="0"/>
    <x v="4"/>
    <x v="2"/>
    <s v="Yes"/>
    <n v="0"/>
    <s v="NoCar"/>
    <x v="1"/>
    <x v="2"/>
    <n v="36"/>
    <x v="1"/>
  </r>
  <r>
    <n v="720"/>
    <s v="Married"/>
    <x v="0"/>
    <n v="70000"/>
    <n v="5"/>
    <x v="0"/>
    <x v="4"/>
    <x v="2"/>
    <s v="Yes"/>
    <n v="2"/>
    <s v="Have Car"/>
    <x v="0"/>
    <x v="2"/>
    <n v="37"/>
    <x v="0"/>
  </r>
  <r>
    <n v="721"/>
    <s v="Single"/>
    <x v="0"/>
    <n v="40000"/>
    <n v="5"/>
    <x v="0"/>
    <x v="2"/>
    <x v="2"/>
    <s v="No"/>
    <n v="3"/>
    <s v="Have Car"/>
    <x v="1"/>
    <x v="2"/>
    <n v="60"/>
    <x v="1"/>
  </r>
  <r>
    <n v="722"/>
    <s v="Single"/>
    <x v="1"/>
    <n v="110000"/>
    <n v="4"/>
    <x v="0"/>
    <x v="0"/>
    <x v="4"/>
    <s v="Yes"/>
    <n v="4"/>
    <s v="Have Car"/>
    <x v="2"/>
    <x v="2"/>
    <n v="42"/>
    <x v="1"/>
  </r>
  <r>
    <n v="723"/>
    <s v="Single"/>
    <x v="0"/>
    <n v="70000"/>
    <n v="3"/>
    <x v="0"/>
    <x v="4"/>
    <x v="4"/>
    <s v="No"/>
    <n v="2"/>
    <s v="Have Car"/>
    <x v="3"/>
    <x v="2"/>
    <n v="53"/>
    <x v="0"/>
  </r>
  <r>
    <n v="724"/>
    <s v="Single"/>
    <x v="0"/>
    <n v="80000"/>
    <n v="2"/>
    <x v="0"/>
    <x v="3"/>
    <x v="0"/>
    <s v="Yes"/>
    <n v="2"/>
    <s v="Have Car"/>
    <x v="2"/>
    <x v="2"/>
    <n v="49"/>
    <x v="0"/>
  </r>
  <r>
    <n v="725"/>
    <s v="Married"/>
    <x v="1"/>
    <n v="30000"/>
    <n v="2"/>
    <x v="0"/>
    <x v="2"/>
    <x v="0"/>
    <s v="Yes"/>
    <n v="2"/>
    <s v="Have Car"/>
    <x v="3"/>
    <x v="2"/>
    <n v="49"/>
    <x v="0"/>
  </r>
  <r>
    <n v="726"/>
    <s v="Married"/>
    <x v="1"/>
    <n v="130000"/>
    <n v="2"/>
    <x v="0"/>
    <x v="4"/>
    <x v="4"/>
    <s v="Yes"/>
    <n v="3"/>
    <s v="Have Car"/>
    <x v="0"/>
    <x v="2"/>
    <n v="42"/>
    <x v="1"/>
  </r>
  <r>
    <n v="727"/>
    <s v="Married"/>
    <x v="1"/>
    <n v="20000"/>
    <n v="2"/>
    <x v="0"/>
    <x v="2"/>
    <x v="3"/>
    <s v="No"/>
    <n v="2"/>
    <s v="Have Car"/>
    <x v="0"/>
    <x v="2"/>
    <n v="53"/>
    <x v="0"/>
  </r>
  <r>
    <n v="728"/>
    <s v="Married"/>
    <x v="1"/>
    <n v="70000"/>
    <n v="1"/>
    <x v="0"/>
    <x v="4"/>
    <x v="2"/>
    <s v="Yes"/>
    <n v="1"/>
    <s v="Have Car"/>
    <x v="0"/>
    <x v="2"/>
    <n v="46"/>
    <x v="1"/>
  </r>
  <r>
    <n v="729"/>
    <s v="Married"/>
    <x v="1"/>
    <n v="40000"/>
    <n v="0"/>
    <x v="1"/>
    <x v="2"/>
    <x v="0"/>
    <s v="Yes"/>
    <n v="2"/>
    <s v="Have Car"/>
    <x v="2"/>
    <x v="2"/>
    <n v="27"/>
    <x v="0"/>
  </r>
  <r>
    <n v="730"/>
    <s v="Married"/>
    <x v="0"/>
    <n v="60000"/>
    <n v="3"/>
    <x v="0"/>
    <x v="0"/>
    <x v="2"/>
    <s v="Yes"/>
    <n v="1"/>
    <s v="Have Car"/>
    <x v="0"/>
    <x v="2"/>
    <n v="48"/>
    <x v="1"/>
  </r>
  <r>
    <n v="731"/>
    <s v="Single"/>
    <x v="0"/>
    <n v="60000"/>
    <n v="4"/>
    <x v="0"/>
    <x v="0"/>
    <x v="0"/>
    <s v="Yes"/>
    <n v="2"/>
    <s v="Have Car"/>
    <x v="1"/>
    <x v="2"/>
    <n v="41"/>
    <x v="1"/>
  </r>
  <r>
    <n v="732"/>
    <s v="Married"/>
    <x v="1"/>
    <n v="60000"/>
    <n v="2"/>
    <x v="0"/>
    <x v="2"/>
    <x v="2"/>
    <s v="No"/>
    <n v="2"/>
    <s v="Have Car"/>
    <x v="3"/>
    <x v="2"/>
    <n v="49"/>
    <x v="1"/>
  </r>
  <r>
    <n v="733"/>
    <s v="Single"/>
    <x v="0"/>
    <n v="60000"/>
    <n v="0"/>
    <x v="1"/>
    <x v="4"/>
    <x v="2"/>
    <s v="Yes"/>
    <n v="1"/>
    <s v="Have Car"/>
    <x v="1"/>
    <x v="2"/>
    <n v="38"/>
    <x v="1"/>
  </r>
  <r>
    <n v="734"/>
    <s v="Single"/>
    <x v="1"/>
    <n v="130000"/>
    <n v="1"/>
    <x v="0"/>
    <x v="0"/>
    <x v="4"/>
    <s v="No"/>
    <n v="4"/>
    <s v="Have Car"/>
    <x v="0"/>
    <x v="2"/>
    <n v="44"/>
    <x v="0"/>
  </r>
  <r>
    <n v="735"/>
    <s v="Single"/>
    <x v="0"/>
    <n v="130000"/>
    <n v="1"/>
    <x v="0"/>
    <x v="0"/>
    <x v="4"/>
    <s v="No"/>
    <n v="3"/>
    <s v="Have Car"/>
    <x v="0"/>
    <x v="2"/>
    <n v="45"/>
    <x v="1"/>
  </r>
  <r>
    <n v="736"/>
    <s v="Single"/>
    <x v="0"/>
    <n v="30000"/>
    <n v="0"/>
    <x v="1"/>
    <x v="1"/>
    <x v="0"/>
    <s v="Yes"/>
    <n v="1"/>
    <s v="Have Car"/>
    <x v="2"/>
    <x v="2"/>
    <n v="26"/>
    <x v="0"/>
  </r>
  <r>
    <n v="737"/>
    <s v="Married"/>
    <x v="1"/>
    <n v="40000"/>
    <n v="0"/>
    <x v="1"/>
    <x v="2"/>
    <x v="0"/>
    <s v="Yes"/>
    <n v="1"/>
    <s v="Have Car"/>
    <x v="2"/>
    <x v="2"/>
    <n v="31"/>
    <x v="0"/>
  </r>
  <r>
    <n v="738"/>
    <s v="Married"/>
    <x v="1"/>
    <n v="70000"/>
    <n v="2"/>
    <x v="0"/>
    <x v="3"/>
    <x v="0"/>
    <s v="No"/>
    <n v="2"/>
    <s v="Have Car"/>
    <x v="3"/>
    <x v="2"/>
    <n v="49"/>
    <x v="0"/>
  </r>
  <r>
    <n v="739"/>
    <s v="Single"/>
    <x v="0"/>
    <n v="40000"/>
    <n v="2"/>
    <x v="0"/>
    <x v="1"/>
    <x v="1"/>
    <s v="No"/>
    <n v="1"/>
    <s v="Have Car"/>
    <x v="3"/>
    <x v="2"/>
    <n v="47"/>
    <x v="1"/>
  </r>
  <r>
    <n v="740"/>
    <s v="Married"/>
    <x v="0"/>
    <n v="60000"/>
    <n v="2"/>
    <x v="0"/>
    <x v="1"/>
    <x v="2"/>
    <s v="Yes"/>
    <n v="1"/>
    <s v="Have Car"/>
    <x v="4"/>
    <x v="2"/>
    <n v="55"/>
    <x v="0"/>
  </r>
  <r>
    <n v="741"/>
    <s v="Married"/>
    <x v="1"/>
    <n v="40000"/>
    <n v="4"/>
    <x v="0"/>
    <x v="1"/>
    <x v="1"/>
    <s v="No"/>
    <n v="0"/>
    <s v="NoCar"/>
    <x v="0"/>
    <x v="2"/>
    <n v="30"/>
    <x v="0"/>
  </r>
  <r>
    <n v="742"/>
    <s v="Married"/>
    <x v="0"/>
    <n v="40000"/>
    <n v="1"/>
    <x v="0"/>
    <x v="1"/>
    <x v="1"/>
    <s v="Yes"/>
    <n v="1"/>
    <s v="Have Car"/>
    <x v="3"/>
    <x v="2"/>
    <n v="48"/>
    <x v="1"/>
  </r>
  <r>
    <n v="743"/>
    <s v="Single"/>
    <x v="1"/>
    <n v="30000"/>
    <n v="0"/>
    <x v="1"/>
    <x v="2"/>
    <x v="0"/>
    <s v="Yes"/>
    <n v="2"/>
    <s v="Have Car"/>
    <x v="2"/>
    <x v="2"/>
    <n v="30"/>
    <x v="0"/>
  </r>
  <r>
    <n v="744"/>
    <s v="Married"/>
    <x v="1"/>
    <n v="110000"/>
    <n v="1"/>
    <x v="0"/>
    <x v="0"/>
    <x v="4"/>
    <s v="Yes"/>
    <n v="3"/>
    <s v="Have Car"/>
    <x v="2"/>
    <x v="2"/>
    <n v="45"/>
    <x v="0"/>
  </r>
  <r>
    <n v="745"/>
    <s v="Married"/>
    <x v="0"/>
    <n v="70000"/>
    <n v="4"/>
    <x v="0"/>
    <x v="1"/>
    <x v="2"/>
    <s v="Yes"/>
    <n v="1"/>
    <s v="Have Car"/>
    <x v="4"/>
    <x v="2"/>
    <n v="56"/>
    <x v="0"/>
  </r>
  <r>
    <n v="746"/>
    <s v="Married"/>
    <x v="1"/>
    <n v="60000"/>
    <n v="4"/>
    <x v="0"/>
    <x v="4"/>
    <x v="0"/>
    <s v="Yes"/>
    <n v="0"/>
    <s v="NoCar"/>
    <x v="3"/>
    <x v="2"/>
    <n v="47"/>
    <x v="1"/>
  </r>
  <r>
    <n v="747"/>
    <s v="Married"/>
    <x v="0"/>
    <n v="60000"/>
    <n v="2"/>
    <x v="0"/>
    <x v="0"/>
    <x v="4"/>
    <s v="Yes"/>
    <n v="0"/>
    <s v="NoCar"/>
    <x v="4"/>
    <x v="2"/>
    <n v="56"/>
    <x v="0"/>
  </r>
  <r>
    <n v="748"/>
    <s v="Single"/>
    <x v="0"/>
    <n v="70000"/>
    <n v="1"/>
    <x v="0"/>
    <x v="0"/>
    <x v="2"/>
    <s v="No"/>
    <n v="1"/>
    <s v="Have Car"/>
    <x v="0"/>
    <x v="2"/>
    <n v="44"/>
    <x v="0"/>
  </r>
  <r>
    <n v="749"/>
    <s v="Married"/>
    <x v="1"/>
    <n v="130000"/>
    <n v="2"/>
    <x v="0"/>
    <x v="4"/>
    <x v="4"/>
    <s v="Yes"/>
    <n v="3"/>
    <s v="Have Car"/>
    <x v="1"/>
    <x v="2"/>
    <n v="69"/>
    <x v="0"/>
  </r>
  <r>
    <n v="750"/>
    <s v="Married"/>
    <x v="0"/>
    <n v="70000"/>
    <n v="2"/>
    <x v="0"/>
    <x v="1"/>
    <x v="2"/>
    <s v="Yes"/>
    <n v="1"/>
    <s v="Have Car"/>
    <x v="1"/>
    <x v="2"/>
    <n v="59"/>
    <x v="0"/>
  </r>
  <r>
    <n v="751"/>
    <s v="Married"/>
    <x v="1"/>
    <n v="30000"/>
    <n v="2"/>
    <x v="0"/>
    <x v="2"/>
    <x v="0"/>
    <s v="Yes"/>
    <n v="2"/>
    <s v="Have Car"/>
    <x v="3"/>
    <x v="2"/>
    <n v="50"/>
    <x v="0"/>
  </r>
  <r>
    <n v="752"/>
    <s v="Married"/>
    <x v="1"/>
    <n v="60000"/>
    <n v="1"/>
    <x v="0"/>
    <x v="4"/>
    <x v="2"/>
    <s v="Yes"/>
    <n v="0"/>
    <s v="NoCar"/>
    <x v="1"/>
    <x v="2"/>
    <n v="36"/>
    <x v="0"/>
  </r>
  <r>
    <n v="753"/>
    <s v="Married"/>
    <x v="1"/>
    <n v="60000"/>
    <n v="0"/>
    <x v="1"/>
    <x v="1"/>
    <x v="2"/>
    <s v="Yes"/>
    <n v="2"/>
    <s v="Have Car"/>
    <x v="2"/>
    <x v="2"/>
    <n v="32"/>
    <x v="0"/>
  </r>
  <r>
    <n v="754"/>
    <s v="Single"/>
    <x v="0"/>
    <n v="40000"/>
    <n v="0"/>
    <x v="1"/>
    <x v="1"/>
    <x v="0"/>
    <s v="No"/>
    <n v="1"/>
    <s v="Have Car"/>
    <x v="3"/>
    <x v="2"/>
    <n v="27"/>
    <x v="0"/>
  </r>
  <r>
    <n v="755"/>
    <s v="Married"/>
    <x v="0"/>
    <n v="40000"/>
    <n v="4"/>
    <x v="0"/>
    <x v="2"/>
    <x v="2"/>
    <s v="Yes"/>
    <n v="2"/>
    <s v="Have Car"/>
    <x v="2"/>
    <x v="2"/>
    <n v="59"/>
    <x v="1"/>
  </r>
  <r>
    <n v="756"/>
    <s v="Married"/>
    <x v="1"/>
    <n v="60000"/>
    <n v="3"/>
    <x v="0"/>
    <x v="2"/>
    <x v="2"/>
    <s v="No"/>
    <n v="2"/>
    <s v="Have Car"/>
    <x v="1"/>
    <x v="2"/>
    <n v="53"/>
    <x v="0"/>
  </r>
  <r>
    <n v="757"/>
    <s v="Married"/>
    <x v="1"/>
    <n v="40000"/>
    <n v="1"/>
    <x v="0"/>
    <x v="0"/>
    <x v="0"/>
    <s v="No"/>
    <n v="1"/>
    <s v="Have Car"/>
    <x v="0"/>
    <x v="2"/>
    <n v="36"/>
    <x v="1"/>
  </r>
  <r>
    <n v="758"/>
    <s v="Single"/>
    <x v="1"/>
    <n v="30000"/>
    <n v="1"/>
    <x v="0"/>
    <x v="2"/>
    <x v="1"/>
    <s v="Yes"/>
    <n v="2"/>
    <s v="Have Car"/>
    <x v="3"/>
    <x v="2"/>
    <n v="51"/>
    <x v="1"/>
  </r>
  <r>
    <n v="759"/>
    <s v="Single"/>
    <x v="0"/>
    <n v="80000"/>
    <n v="5"/>
    <x v="0"/>
    <x v="4"/>
    <x v="0"/>
    <s v="No"/>
    <n v="0"/>
    <s v="NoCar"/>
    <x v="0"/>
    <x v="2"/>
    <n v="47"/>
    <x v="0"/>
  </r>
  <r>
    <n v="760"/>
    <s v="Single"/>
    <x v="0"/>
    <n v="60000"/>
    <n v="3"/>
    <x v="0"/>
    <x v="4"/>
    <x v="2"/>
    <s v="Yes"/>
    <n v="0"/>
    <s v="NoCar"/>
    <x v="1"/>
    <x v="2"/>
    <n v="43"/>
    <x v="1"/>
  </r>
  <r>
    <n v="761"/>
    <s v="Single"/>
    <x v="1"/>
    <n v="20000"/>
    <n v="3"/>
    <x v="0"/>
    <x v="3"/>
    <x v="1"/>
    <s v="No"/>
    <n v="2"/>
    <s v="Have Car"/>
    <x v="0"/>
    <x v="2"/>
    <n v="50"/>
    <x v="0"/>
  </r>
  <r>
    <n v="762"/>
    <s v="Married"/>
    <x v="0"/>
    <n v="60000"/>
    <n v="5"/>
    <x v="0"/>
    <x v="0"/>
    <x v="4"/>
    <s v="Yes"/>
    <n v="3"/>
    <s v="Have Car"/>
    <x v="4"/>
    <x v="2"/>
    <n v="59"/>
    <x v="0"/>
  </r>
  <r>
    <n v="763"/>
    <s v="Single"/>
    <x v="1"/>
    <n v="50000"/>
    <n v="2"/>
    <x v="0"/>
    <x v="0"/>
    <x v="0"/>
    <s v="Yes"/>
    <n v="0"/>
    <s v="NoCar"/>
    <x v="1"/>
    <x v="2"/>
    <n v="37"/>
    <x v="1"/>
  </r>
  <r>
    <n v="764"/>
    <s v="Married"/>
    <x v="1"/>
    <n v="50000"/>
    <n v="1"/>
    <x v="0"/>
    <x v="4"/>
    <x v="0"/>
    <s v="Yes"/>
    <n v="0"/>
    <s v="NoCar"/>
    <x v="0"/>
    <x v="2"/>
    <n v="33"/>
    <x v="1"/>
  </r>
  <r>
    <n v="765"/>
    <s v="Married"/>
    <x v="0"/>
    <n v="60000"/>
    <n v="0"/>
    <x v="1"/>
    <x v="1"/>
    <x v="0"/>
    <s v="No"/>
    <n v="1"/>
    <s v="Have Car"/>
    <x v="3"/>
    <x v="2"/>
    <n v="27"/>
    <x v="0"/>
  </r>
  <r>
    <n v="766"/>
    <s v="Single"/>
    <x v="0"/>
    <n v="70000"/>
    <n v="0"/>
    <x v="1"/>
    <x v="1"/>
    <x v="0"/>
    <s v="Yes"/>
    <n v="2"/>
    <s v="Have Car"/>
    <x v="2"/>
    <x v="2"/>
    <n v="34"/>
    <x v="1"/>
  </r>
  <r>
    <n v="767"/>
    <s v="Married"/>
    <x v="1"/>
    <n v="50000"/>
    <n v="4"/>
    <x v="0"/>
    <x v="0"/>
    <x v="0"/>
    <s v="Yes"/>
    <n v="3"/>
    <s v="Have Car"/>
    <x v="4"/>
    <x v="2"/>
    <n v="42"/>
    <x v="0"/>
  </r>
  <r>
    <n v="768"/>
    <s v="Married"/>
    <x v="0"/>
    <n v="60000"/>
    <n v="2"/>
    <x v="0"/>
    <x v="1"/>
    <x v="2"/>
    <s v="Yes"/>
    <n v="2"/>
    <s v="Have Car"/>
    <x v="1"/>
    <x v="2"/>
    <n v="57"/>
    <x v="1"/>
  </r>
  <r>
    <n v="769"/>
    <s v="Married"/>
    <x v="0"/>
    <n v="120000"/>
    <n v="1"/>
    <x v="0"/>
    <x v="2"/>
    <x v="2"/>
    <s v="No"/>
    <n v="4"/>
    <s v="Have Car"/>
    <x v="1"/>
    <x v="2"/>
    <n v="45"/>
    <x v="0"/>
  </r>
  <r>
    <n v="770"/>
    <s v="Married"/>
    <x v="0"/>
    <n v="100000"/>
    <n v="4"/>
    <x v="0"/>
    <x v="0"/>
    <x v="4"/>
    <s v="Yes"/>
    <n v="4"/>
    <s v="Have Car"/>
    <x v="0"/>
    <x v="2"/>
    <n v="40"/>
    <x v="0"/>
  </r>
  <r>
    <n v="771"/>
    <s v="Married"/>
    <x v="1"/>
    <n v="60000"/>
    <n v="1"/>
    <x v="0"/>
    <x v="4"/>
    <x v="0"/>
    <s v="No"/>
    <n v="0"/>
    <s v="NoCar"/>
    <x v="0"/>
    <x v="2"/>
    <n v="55"/>
    <x v="0"/>
  </r>
  <r>
    <n v="772"/>
    <s v="Married"/>
    <x v="1"/>
    <n v="80000"/>
    <n v="1"/>
    <x v="0"/>
    <x v="1"/>
    <x v="0"/>
    <s v="No"/>
    <n v="1"/>
    <s v="Have Car"/>
    <x v="0"/>
    <x v="2"/>
    <n v="47"/>
    <x v="1"/>
  </r>
  <r>
    <n v="773"/>
    <s v="Single"/>
    <x v="1"/>
    <n v="60000"/>
    <n v="4"/>
    <x v="0"/>
    <x v="4"/>
    <x v="0"/>
    <s v="Yes"/>
    <n v="0"/>
    <s v="NoCar"/>
    <x v="3"/>
    <x v="2"/>
    <n v="47"/>
    <x v="1"/>
  </r>
  <r>
    <n v="774"/>
    <s v="Married"/>
    <x v="0"/>
    <n v="60000"/>
    <n v="1"/>
    <x v="0"/>
    <x v="4"/>
    <x v="0"/>
    <s v="Yes"/>
    <n v="0"/>
    <s v="NoCar"/>
    <x v="0"/>
    <x v="2"/>
    <n v="34"/>
    <x v="0"/>
  </r>
  <r>
    <n v="775"/>
    <s v="Married"/>
    <x v="0"/>
    <n v="80000"/>
    <n v="3"/>
    <x v="0"/>
    <x v="4"/>
    <x v="2"/>
    <s v="Yes"/>
    <n v="0"/>
    <s v="NoCar"/>
    <x v="0"/>
    <x v="2"/>
    <n v="36"/>
    <x v="1"/>
  </r>
  <r>
    <n v="776"/>
    <s v="Married"/>
    <x v="1"/>
    <n v="70000"/>
    <n v="2"/>
    <x v="0"/>
    <x v="3"/>
    <x v="0"/>
    <s v="Yes"/>
    <n v="2"/>
    <s v="Have Car"/>
    <x v="4"/>
    <x v="2"/>
    <n v="54"/>
    <x v="0"/>
  </r>
  <r>
    <n v="777"/>
    <s v="Single"/>
    <x v="1"/>
    <n v="70000"/>
    <n v="2"/>
    <x v="0"/>
    <x v="0"/>
    <x v="4"/>
    <s v="No"/>
    <n v="1"/>
    <s v="Have Car"/>
    <x v="1"/>
    <x v="2"/>
    <n v="59"/>
    <x v="1"/>
  </r>
  <r>
    <n v="778"/>
    <s v="Single"/>
    <x v="1"/>
    <n v="40000"/>
    <n v="0"/>
    <x v="1"/>
    <x v="2"/>
    <x v="0"/>
    <s v="Yes"/>
    <n v="2"/>
    <s v="Have Car"/>
    <x v="2"/>
    <x v="2"/>
    <n v="27"/>
    <x v="0"/>
  </r>
  <r>
    <n v="779"/>
    <s v="Married"/>
    <x v="1"/>
    <n v="90000"/>
    <n v="5"/>
    <x v="0"/>
    <x v="1"/>
    <x v="2"/>
    <s v="Yes"/>
    <n v="3"/>
    <s v="Have Car"/>
    <x v="0"/>
    <x v="2"/>
    <n v="41"/>
    <x v="0"/>
  </r>
  <r>
    <n v="780"/>
    <s v="Married"/>
    <x v="1"/>
    <n v="80000"/>
    <n v="3"/>
    <x v="0"/>
    <x v="1"/>
    <x v="2"/>
    <s v="No"/>
    <n v="2"/>
    <s v="Have Car"/>
    <x v="1"/>
    <x v="2"/>
    <n v="50"/>
    <x v="1"/>
  </r>
  <r>
    <n v="781"/>
    <s v="Married"/>
    <x v="0"/>
    <n v="60000"/>
    <n v="2"/>
    <x v="0"/>
    <x v="1"/>
    <x v="2"/>
    <s v="Yes"/>
    <n v="1"/>
    <s v="Have Car"/>
    <x v="4"/>
    <x v="2"/>
    <n v="55"/>
    <x v="0"/>
  </r>
  <r>
    <n v="782"/>
    <s v="Married"/>
    <x v="1"/>
    <n v="80000"/>
    <n v="4"/>
    <x v="0"/>
    <x v="0"/>
    <x v="4"/>
    <s v="Yes"/>
    <n v="0"/>
    <s v="NoCar"/>
    <x v="0"/>
    <x v="2"/>
    <n v="43"/>
    <x v="0"/>
  </r>
  <r>
    <n v="783"/>
    <s v="Single"/>
    <x v="1"/>
    <n v="70000"/>
    <n v="4"/>
    <x v="0"/>
    <x v="0"/>
    <x v="2"/>
    <s v="Yes"/>
    <n v="2"/>
    <s v="Have Car"/>
    <x v="1"/>
    <x v="2"/>
    <n v="43"/>
    <x v="1"/>
  </r>
  <r>
    <n v="784"/>
    <s v="Married"/>
    <x v="1"/>
    <n v="60000"/>
    <n v="4"/>
    <x v="0"/>
    <x v="0"/>
    <x v="0"/>
    <s v="Yes"/>
    <n v="3"/>
    <s v="Have Car"/>
    <x v="2"/>
    <x v="2"/>
    <n v="42"/>
    <x v="0"/>
  </r>
  <r>
    <n v="785"/>
    <s v="Single"/>
    <x v="0"/>
    <n v="10000"/>
    <n v="2"/>
    <x v="0"/>
    <x v="2"/>
    <x v="3"/>
    <s v="Yes"/>
    <n v="2"/>
    <s v="Have Car"/>
    <x v="3"/>
    <x v="2"/>
    <n v="53"/>
    <x v="1"/>
  </r>
  <r>
    <n v="786"/>
    <s v="Single"/>
    <x v="0"/>
    <n v="40000"/>
    <n v="0"/>
    <x v="1"/>
    <x v="2"/>
    <x v="0"/>
    <s v="No"/>
    <n v="2"/>
    <s v="Have Car"/>
    <x v="0"/>
    <x v="2"/>
    <n v="28"/>
    <x v="1"/>
  </r>
  <r>
    <n v="787"/>
    <s v="Married"/>
    <x v="0"/>
    <n v="50000"/>
    <n v="1"/>
    <x v="0"/>
    <x v="0"/>
    <x v="0"/>
    <s v="Yes"/>
    <n v="1"/>
    <s v="Have Car"/>
    <x v="0"/>
    <x v="2"/>
    <n v="35"/>
    <x v="0"/>
  </r>
  <r>
    <n v="788"/>
    <s v="Single"/>
    <x v="0"/>
    <n v="70000"/>
    <n v="2"/>
    <x v="0"/>
    <x v="0"/>
    <x v="4"/>
    <s v="No"/>
    <n v="1"/>
    <s v="Have Car"/>
    <x v="1"/>
    <x v="2"/>
    <n v="59"/>
    <x v="1"/>
  </r>
  <r>
    <n v="789"/>
    <s v="Single"/>
    <x v="0"/>
    <n v="20000"/>
    <n v="2"/>
    <x v="0"/>
    <x v="3"/>
    <x v="1"/>
    <s v="Yes"/>
    <n v="2"/>
    <s v="Have Car"/>
    <x v="3"/>
    <x v="2"/>
    <n v="49"/>
    <x v="0"/>
  </r>
  <r>
    <n v="790"/>
    <s v="Married"/>
    <x v="1"/>
    <n v="60000"/>
    <n v="2"/>
    <x v="0"/>
    <x v="2"/>
    <x v="2"/>
    <s v="No"/>
    <n v="2"/>
    <s v="Have Car"/>
    <x v="3"/>
    <x v="2"/>
    <n v="48"/>
    <x v="1"/>
  </r>
  <r>
    <n v="791"/>
    <s v="Single"/>
    <x v="0"/>
    <n v="80000"/>
    <n v="2"/>
    <x v="0"/>
    <x v="3"/>
    <x v="0"/>
    <s v="No"/>
    <n v="2"/>
    <s v="Have Car"/>
    <x v="3"/>
    <x v="2"/>
    <n v="50"/>
    <x v="0"/>
  </r>
  <r>
    <n v="792"/>
    <s v="Married"/>
    <x v="1"/>
    <n v="40000"/>
    <n v="0"/>
    <x v="1"/>
    <x v="2"/>
    <x v="0"/>
    <s v="Yes"/>
    <n v="2"/>
    <s v="Have Car"/>
    <x v="2"/>
    <x v="2"/>
    <n v="28"/>
    <x v="1"/>
  </r>
  <r>
    <n v="793"/>
    <s v="Single"/>
    <x v="1"/>
    <n v="30000"/>
    <n v="1"/>
    <x v="0"/>
    <x v="2"/>
    <x v="1"/>
    <s v="No"/>
    <n v="1"/>
    <s v="Have Car"/>
    <x v="2"/>
    <x v="2"/>
    <n v="52"/>
    <x v="0"/>
  </r>
  <r>
    <n v="794"/>
    <s v="Married"/>
    <x v="1"/>
    <n v="30000"/>
    <n v="1"/>
    <x v="0"/>
    <x v="2"/>
    <x v="1"/>
    <s v="Yes"/>
    <n v="1"/>
    <s v="Have Car"/>
    <x v="1"/>
    <x v="2"/>
    <n v="52"/>
    <x v="1"/>
  </r>
  <r>
    <n v="795"/>
    <s v="Married"/>
    <x v="1"/>
    <n v="50000"/>
    <n v="2"/>
    <x v="0"/>
    <x v="4"/>
    <x v="4"/>
    <s v="Yes"/>
    <n v="2"/>
    <s v="Have Car"/>
    <x v="2"/>
    <x v="2"/>
    <n v="69"/>
    <x v="0"/>
  </r>
  <r>
    <n v="796"/>
    <s v="Single"/>
    <x v="1"/>
    <n v="60000"/>
    <n v="2"/>
    <x v="0"/>
    <x v="2"/>
    <x v="2"/>
    <s v="Yes"/>
    <n v="2"/>
    <s v="Have Car"/>
    <x v="2"/>
    <x v="2"/>
    <n v="51"/>
    <x v="0"/>
  </r>
  <r>
    <n v="797"/>
    <s v="Married"/>
    <x v="1"/>
    <n v="70000"/>
    <n v="5"/>
    <x v="0"/>
    <x v="1"/>
    <x v="2"/>
    <s v="Yes"/>
    <n v="2"/>
    <s v="Have Car"/>
    <x v="3"/>
    <x v="2"/>
    <n v="57"/>
    <x v="1"/>
  </r>
  <r>
    <n v="798"/>
    <s v="Single"/>
    <x v="1"/>
    <n v="60000"/>
    <n v="0"/>
    <x v="1"/>
    <x v="1"/>
    <x v="0"/>
    <s v="Yes"/>
    <n v="1"/>
    <s v="Have Car"/>
    <x v="2"/>
    <x v="2"/>
    <n v="27"/>
    <x v="1"/>
  </r>
  <r>
    <n v="799"/>
    <s v="Single"/>
    <x v="0"/>
    <n v="30000"/>
    <n v="0"/>
    <x v="1"/>
    <x v="2"/>
    <x v="0"/>
    <s v="No"/>
    <n v="2"/>
    <s v="Have Car"/>
    <x v="0"/>
    <x v="2"/>
    <n v="25"/>
    <x v="1"/>
  </r>
  <r>
    <n v="800"/>
    <s v="Single"/>
    <x v="0"/>
    <n v="50000"/>
    <n v="1"/>
    <x v="0"/>
    <x v="4"/>
    <x v="0"/>
    <s v="Yes"/>
    <n v="0"/>
    <s v="NoCar"/>
    <x v="3"/>
    <x v="2"/>
    <n v="33"/>
    <x v="1"/>
  </r>
  <r>
    <n v="801"/>
    <s v="Single"/>
    <x v="1"/>
    <n v="60000"/>
    <n v="4"/>
    <x v="0"/>
    <x v="0"/>
    <x v="2"/>
    <s v="Yes"/>
    <n v="2"/>
    <s v="Have Car"/>
    <x v="1"/>
    <x v="2"/>
    <n v="43"/>
    <x v="1"/>
  </r>
  <r>
    <n v="802"/>
    <s v="Married"/>
    <x v="1"/>
    <n v="70000"/>
    <n v="4"/>
    <x v="0"/>
    <x v="4"/>
    <x v="4"/>
    <s v="Yes"/>
    <n v="2"/>
    <s v="Have Car"/>
    <x v="2"/>
    <x v="2"/>
    <n v="73"/>
    <x v="0"/>
  </r>
  <r>
    <n v="803"/>
    <s v="Married"/>
    <x v="1"/>
    <n v="40000"/>
    <n v="0"/>
    <x v="1"/>
    <x v="1"/>
    <x v="0"/>
    <s v="Yes"/>
    <n v="1"/>
    <s v="Have Car"/>
    <x v="2"/>
    <x v="2"/>
    <n v="27"/>
    <x v="0"/>
  </r>
  <r>
    <n v="804"/>
    <s v="Married"/>
    <x v="1"/>
    <n v="40000"/>
    <n v="0"/>
    <x v="1"/>
    <x v="2"/>
    <x v="0"/>
    <s v="Yes"/>
    <n v="2"/>
    <s v="Have Car"/>
    <x v="2"/>
    <x v="2"/>
    <n v="28"/>
    <x v="1"/>
  </r>
  <r>
    <n v="805"/>
    <s v="Married"/>
    <x v="1"/>
    <n v="40000"/>
    <n v="0"/>
    <x v="1"/>
    <x v="2"/>
    <x v="0"/>
    <s v="No"/>
    <n v="2"/>
    <s v="Have Car"/>
    <x v="0"/>
    <x v="2"/>
    <n v="27"/>
    <x v="1"/>
  </r>
  <r>
    <n v="806"/>
    <s v="Single"/>
    <x v="0"/>
    <n v="40000"/>
    <n v="0"/>
    <x v="1"/>
    <x v="2"/>
    <x v="0"/>
    <s v="Yes"/>
    <n v="2"/>
    <s v="Have Car"/>
    <x v="2"/>
    <x v="2"/>
    <n v="31"/>
    <x v="0"/>
  </r>
  <r>
    <n v="807"/>
    <s v="Married"/>
    <x v="0"/>
    <n v="10000"/>
    <n v="2"/>
    <x v="0"/>
    <x v="2"/>
    <x v="3"/>
    <s v="Yes"/>
    <n v="2"/>
    <s v="Have Car"/>
    <x v="3"/>
    <x v="2"/>
    <n v="53"/>
    <x v="0"/>
  </r>
  <r>
    <n v="808"/>
    <s v="Single"/>
    <x v="0"/>
    <n v="60000"/>
    <n v="0"/>
    <x v="1"/>
    <x v="1"/>
    <x v="2"/>
    <s v="No"/>
    <n v="2"/>
    <s v="Have Car"/>
    <x v="3"/>
    <x v="2"/>
    <n v="32"/>
    <x v="1"/>
  </r>
  <r>
    <n v="809"/>
    <s v="Single"/>
    <x v="1"/>
    <n v="30000"/>
    <n v="2"/>
    <x v="0"/>
    <x v="2"/>
    <x v="0"/>
    <s v="Yes"/>
    <n v="2"/>
    <s v="Have Car"/>
    <x v="3"/>
    <x v="2"/>
    <n v="50"/>
    <x v="1"/>
  </r>
  <r>
    <n v="810"/>
    <s v="Married"/>
    <x v="0"/>
    <n v="40000"/>
    <n v="4"/>
    <x v="0"/>
    <x v="2"/>
    <x v="2"/>
    <s v="Yes"/>
    <n v="2"/>
    <s v="Have Car"/>
    <x v="2"/>
    <x v="2"/>
    <n v="69"/>
    <x v="0"/>
  </r>
  <r>
    <n v="811"/>
    <s v="Single"/>
    <x v="0"/>
    <n v="70000"/>
    <n v="3"/>
    <x v="0"/>
    <x v="4"/>
    <x v="4"/>
    <s v="Yes"/>
    <n v="2"/>
    <s v="Have Car"/>
    <x v="2"/>
    <x v="2"/>
    <n v="52"/>
    <x v="1"/>
  </r>
  <r>
    <n v="812"/>
    <s v="Married"/>
    <x v="1"/>
    <n v="60000"/>
    <n v="0"/>
    <x v="1"/>
    <x v="1"/>
    <x v="0"/>
    <s v="No"/>
    <n v="2"/>
    <s v="Have Car"/>
    <x v="3"/>
    <x v="2"/>
    <n v="31"/>
    <x v="0"/>
  </r>
  <r>
    <n v="813"/>
    <s v="Single"/>
    <x v="0"/>
    <n v="70000"/>
    <n v="4"/>
    <x v="0"/>
    <x v="0"/>
    <x v="4"/>
    <s v="Yes"/>
    <n v="2"/>
    <s v="Have Car"/>
    <x v="4"/>
    <x v="2"/>
    <n v="61"/>
    <x v="0"/>
  </r>
  <r>
    <n v="814"/>
    <s v="Married"/>
    <x v="0"/>
    <n v="70000"/>
    <n v="2"/>
    <x v="0"/>
    <x v="2"/>
    <x v="2"/>
    <s v="Yes"/>
    <n v="2"/>
    <s v="Have Car"/>
    <x v="4"/>
    <x v="2"/>
    <n v="53"/>
    <x v="0"/>
  </r>
  <r>
    <n v="815"/>
    <s v="Single"/>
    <x v="0"/>
    <n v="70000"/>
    <n v="4"/>
    <x v="0"/>
    <x v="0"/>
    <x v="4"/>
    <s v="Yes"/>
    <n v="2"/>
    <s v="Have Car"/>
    <x v="3"/>
    <x v="2"/>
    <n v="62"/>
    <x v="1"/>
  </r>
  <r>
    <n v="816"/>
    <s v="Married"/>
    <x v="1"/>
    <n v="40000"/>
    <n v="0"/>
    <x v="1"/>
    <x v="1"/>
    <x v="0"/>
    <s v="No"/>
    <n v="2"/>
    <s v="Have Car"/>
    <x v="3"/>
    <x v="2"/>
    <n v="30"/>
    <x v="0"/>
  </r>
  <r>
    <n v="817"/>
    <s v="Married"/>
    <x v="0"/>
    <n v="60000"/>
    <n v="3"/>
    <x v="0"/>
    <x v="4"/>
    <x v="2"/>
    <s v="Yes"/>
    <n v="0"/>
    <s v="NoCar"/>
    <x v="1"/>
    <x v="2"/>
    <n v="43"/>
    <x v="1"/>
  </r>
  <r>
    <n v="818"/>
    <s v="Married"/>
    <x v="0"/>
    <n v="60000"/>
    <n v="3"/>
    <x v="0"/>
    <x v="4"/>
    <x v="2"/>
    <s v="Yes"/>
    <n v="0"/>
    <s v="NoCar"/>
    <x v="1"/>
    <x v="2"/>
    <n v="42"/>
    <x v="1"/>
  </r>
  <r>
    <n v="819"/>
    <s v="Married"/>
    <x v="1"/>
    <n v="40000"/>
    <n v="0"/>
    <x v="1"/>
    <x v="1"/>
    <x v="0"/>
    <s v="Yes"/>
    <n v="1"/>
    <s v="Have Car"/>
    <x v="2"/>
    <x v="2"/>
    <n v="30"/>
    <x v="0"/>
  </r>
  <r>
    <n v="820"/>
    <s v="Single"/>
    <x v="0"/>
    <n v="40000"/>
    <n v="0"/>
    <x v="1"/>
    <x v="2"/>
    <x v="0"/>
    <s v="Yes"/>
    <n v="2"/>
    <s v="Have Car"/>
    <x v="2"/>
    <x v="2"/>
    <n v="30"/>
    <x v="0"/>
  </r>
  <r>
    <n v="821"/>
    <s v="Single"/>
    <x v="1"/>
    <n v="110000"/>
    <n v="1"/>
    <x v="0"/>
    <x v="0"/>
    <x v="4"/>
    <s v="Yes"/>
    <n v="1"/>
    <s v="Have Car"/>
    <x v="2"/>
    <x v="2"/>
    <n v="43"/>
    <x v="0"/>
  </r>
  <r>
    <n v="822"/>
    <s v="Married"/>
    <x v="1"/>
    <n v="60000"/>
    <n v="0"/>
    <x v="1"/>
    <x v="1"/>
    <x v="0"/>
    <s v="Yes"/>
    <n v="2"/>
    <s v="Have Car"/>
    <x v="2"/>
    <x v="2"/>
    <n v="33"/>
    <x v="1"/>
  </r>
  <r>
    <n v="823"/>
    <s v="Married"/>
    <x v="1"/>
    <n v="30000"/>
    <n v="0"/>
    <x v="1"/>
    <x v="2"/>
    <x v="0"/>
    <s v="Yes"/>
    <n v="2"/>
    <s v="Have Car"/>
    <x v="2"/>
    <x v="2"/>
    <n v="32"/>
    <x v="0"/>
  </r>
  <r>
    <n v="824"/>
    <s v="Single"/>
    <x v="0"/>
    <n v="70000"/>
    <n v="4"/>
    <x v="0"/>
    <x v="2"/>
    <x v="2"/>
    <s v="Yes"/>
    <n v="0"/>
    <s v="NoCar"/>
    <x v="2"/>
    <x v="2"/>
    <n v="50"/>
    <x v="1"/>
  </r>
  <r>
    <n v="825"/>
    <s v="Single"/>
    <x v="1"/>
    <n v="110000"/>
    <n v="2"/>
    <x v="0"/>
    <x v="0"/>
    <x v="4"/>
    <s v="No"/>
    <n v="3"/>
    <s v="Have Car"/>
    <x v="0"/>
    <x v="2"/>
    <n v="37"/>
    <x v="1"/>
  </r>
  <r>
    <n v="826"/>
    <s v="Married"/>
    <x v="1"/>
    <n v="70000"/>
    <n v="3"/>
    <x v="0"/>
    <x v="2"/>
    <x v="2"/>
    <s v="No"/>
    <n v="1"/>
    <s v="Have Car"/>
    <x v="3"/>
    <x v="2"/>
    <n v="52"/>
    <x v="1"/>
  </r>
  <r>
    <n v="827"/>
    <s v="Married"/>
    <x v="1"/>
    <n v="70000"/>
    <n v="4"/>
    <x v="0"/>
    <x v="4"/>
    <x v="2"/>
    <s v="Yes"/>
    <n v="0"/>
    <s v="NoCar"/>
    <x v="1"/>
    <x v="2"/>
    <n v="36"/>
    <x v="1"/>
  </r>
  <r>
    <n v="828"/>
    <s v="Single"/>
    <x v="0"/>
    <n v="80000"/>
    <n v="3"/>
    <x v="0"/>
    <x v="0"/>
    <x v="0"/>
    <s v="Yes"/>
    <n v="2"/>
    <s v="Have Car"/>
    <x v="1"/>
    <x v="2"/>
    <n v="41"/>
    <x v="1"/>
  </r>
  <r>
    <n v="829"/>
    <s v="Single"/>
    <x v="0"/>
    <n v="40000"/>
    <n v="0"/>
    <x v="1"/>
    <x v="3"/>
    <x v="1"/>
    <s v="Yes"/>
    <n v="2"/>
    <s v="Have Car"/>
    <x v="2"/>
    <x v="2"/>
    <n v="26"/>
    <x v="0"/>
  </r>
  <r>
    <n v="830"/>
    <s v="Single"/>
    <x v="1"/>
    <n v="170000"/>
    <n v="1"/>
    <x v="0"/>
    <x v="4"/>
    <x v="4"/>
    <s v="No"/>
    <n v="4"/>
    <s v="Have Car"/>
    <x v="0"/>
    <x v="2"/>
    <n v="66"/>
    <x v="0"/>
  </r>
  <r>
    <n v="831"/>
    <s v="Married"/>
    <x v="1"/>
    <n v="60000"/>
    <n v="2"/>
    <x v="0"/>
    <x v="2"/>
    <x v="2"/>
    <s v="No"/>
    <n v="2"/>
    <s v="Have Car"/>
    <x v="2"/>
    <x v="2"/>
    <n v="51"/>
    <x v="0"/>
  </r>
  <r>
    <n v="832"/>
    <s v="Married"/>
    <x v="0"/>
    <n v="70000"/>
    <n v="4"/>
    <x v="0"/>
    <x v="0"/>
    <x v="2"/>
    <s v="Yes"/>
    <n v="2"/>
    <s v="Have Car"/>
    <x v="0"/>
    <x v="2"/>
    <n v="43"/>
    <x v="1"/>
  </r>
  <r>
    <n v="833"/>
    <s v="Married"/>
    <x v="0"/>
    <n v="60000"/>
    <n v="0"/>
    <x v="1"/>
    <x v="4"/>
    <x v="2"/>
    <s v="Yes"/>
    <n v="0"/>
    <s v="NoCar"/>
    <x v="0"/>
    <x v="2"/>
    <n v="39"/>
    <x v="0"/>
  </r>
  <r>
    <n v="834"/>
    <s v="Single"/>
    <x v="0"/>
    <n v="70000"/>
    <n v="0"/>
    <x v="1"/>
    <x v="0"/>
    <x v="2"/>
    <s v="No"/>
    <n v="1"/>
    <s v="Have Car"/>
    <x v="0"/>
    <x v="2"/>
    <n v="37"/>
    <x v="1"/>
  </r>
  <r>
    <n v="835"/>
    <s v="Single"/>
    <x v="0"/>
    <n v="70000"/>
    <n v="2"/>
    <x v="0"/>
    <x v="3"/>
    <x v="0"/>
    <s v="No"/>
    <n v="2"/>
    <s v="Have Car"/>
    <x v="1"/>
    <x v="2"/>
    <n v="54"/>
    <x v="1"/>
  </r>
  <r>
    <n v="836"/>
    <s v="Single"/>
    <x v="0"/>
    <n v="60000"/>
    <n v="3"/>
    <x v="0"/>
    <x v="0"/>
    <x v="0"/>
    <s v="Yes"/>
    <n v="0"/>
    <s v="NoCar"/>
    <x v="1"/>
    <x v="2"/>
    <n v="40"/>
    <x v="1"/>
  </r>
  <r>
    <n v="837"/>
    <s v="Married"/>
    <x v="0"/>
    <n v="40000"/>
    <n v="0"/>
    <x v="1"/>
    <x v="1"/>
    <x v="0"/>
    <s v="Yes"/>
    <n v="2"/>
    <s v="Have Car"/>
    <x v="2"/>
    <x v="2"/>
    <n v="28"/>
    <x v="0"/>
  </r>
  <r>
    <n v="838"/>
    <s v="Married"/>
    <x v="1"/>
    <n v="60000"/>
    <n v="1"/>
    <x v="0"/>
    <x v="4"/>
    <x v="0"/>
    <s v="Yes"/>
    <n v="0"/>
    <s v="NoCar"/>
    <x v="0"/>
    <x v="2"/>
    <n v="33"/>
    <x v="0"/>
  </r>
  <r>
    <n v="839"/>
    <s v="Single"/>
    <x v="0"/>
    <n v="80000"/>
    <n v="3"/>
    <x v="0"/>
    <x v="0"/>
    <x v="0"/>
    <s v="Yes"/>
    <n v="2"/>
    <s v="Have Car"/>
    <x v="1"/>
    <x v="2"/>
    <n v="41"/>
    <x v="1"/>
  </r>
  <r>
    <n v="840"/>
    <s v="Single"/>
    <x v="0"/>
    <n v="80000"/>
    <n v="3"/>
    <x v="0"/>
    <x v="4"/>
    <x v="2"/>
    <s v="Yes"/>
    <n v="0"/>
    <s v="NoCar"/>
    <x v="0"/>
    <x v="2"/>
    <n v="37"/>
    <x v="1"/>
  </r>
  <r>
    <n v="841"/>
    <s v="Married"/>
    <x v="1"/>
    <n v="70000"/>
    <n v="4"/>
    <x v="0"/>
    <x v="1"/>
    <x v="2"/>
    <s v="Yes"/>
    <n v="2"/>
    <s v="Have Car"/>
    <x v="4"/>
    <x v="2"/>
    <n v="53"/>
    <x v="0"/>
  </r>
  <r>
    <n v="842"/>
    <s v="Married"/>
    <x v="1"/>
    <n v="120000"/>
    <n v="2"/>
    <x v="0"/>
    <x v="4"/>
    <x v="4"/>
    <s v="Yes"/>
    <n v="3"/>
    <s v="Have Car"/>
    <x v="2"/>
    <x v="2"/>
    <n v="64"/>
    <x v="0"/>
  </r>
  <r>
    <n v="843"/>
    <s v="Married"/>
    <x v="0"/>
    <n v="60000"/>
    <n v="1"/>
    <x v="0"/>
    <x v="1"/>
    <x v="0"/>
    <s v="Yes"/>
    <n v="1"/>
    <s v="Have Car"/>
    <x v="1"/>
    <x v="2"/>
    <n v="45"/>
    <x v="1"/>
  </r>
  <r>
    <n v="844"/>
    <s v="Single"/>
    <x v="1"/>
    <n v="80000"/>
    <n v="2"/>
    <x v="0"/>
    <x v="3"/>
    <x v="0"/>
    <s v="No"/>
    <n v="2"/>
    <s v="Have Car"/>
    <x v="3"/>
    <x v="2"/>
    <n v="52"/>
    <x v="0"/>
  </r>
  <r>
    <n v="845"/>
    <s v="Married"/>
    <x v="0"/>
    <n v="40000"/>
    <n v="5"/>
    <x v="0"/>
    <x v="2"/>
    <x v="2"/>
    <s v="Yes"/>
    <n v="2"/>
    <s v="Have Car"/>
    <x v="4"/>
    <x v="2"/>
    <n v="60"/>
    <x v="0"/>
  </r>
  <r>
    <n v="846"/>
    <s v="Single"/>
    <x v="0"/>
    <n v="20000"/>
    <n v="3"/>
    <x v="0"/>
    <x v="3"/>
    <x v="1"/>
    <s v="Yes"/>
    <n v="2"/>
    <s v="Have Car"/>
    <x v="3"/>
    <x v="2"/>
    <n v="50"/>
    <x v="0"/>
  </r>
  <r>
    <n v="847"/>
    <s v="Married"/>
    <x v="0"/>
    <n v="70000"/>
    <n v="4"/>
    <x v="0"/>
    <x v="1"/>
    <x v="2"/>
    <s v="No"/>
    <n v="1"/>
    <s v="Have Car"/>
    <x v="3"/>
    <x v="2"/>
    <n v="56"/>
    <x v="0"/>
  </r>
  <r>
    <n v="848"/>
    <s v="Single"/>
    <x v="0"/>
    <n v="40000"/>
    <n v="0"/>
    <x v="1"/>
    <x v="3"/>
    <x v="1"/>
    <s v="Yes"/>
    <n v="2"/>
    <s v="Have Car"/>
    <x v="2"/>
    <x v="2"/>
    <n v="29"/>
    <x v="0"/>
  </r>
  <r>
    <n v="849"/>
    <s v="Single"/>
    <x v="1"/>
    <n v="130000"/>
    <n v="0"/>
    <x v="1"/>
    <x v="4"/>
    <x v="4"/>
    <s v="No"/>
    <n v="2"/>
    <s v="Have Car"/>
    <x v="0"/>
    <x v="2"/>
    <n v="38"/>
    <x v="1"/>
  </r>
  <r>
    <n v="850"/>
    <s v="Married"/>
    <x v="0"/>
    <n v="40000"/>
    <n v="5"/>
    <x v="0"/>
    <x v="2"/>
    <x v="2"/>
    <s v="No"/>
    <n v="2"/>
    <s v="Have Car"/>
    <x v="1"/>
    <x v="2"/>
    <n v="60"/>
    <x v="0"/>
  </r>
  <r>
    <n v="851"/>
    <s v="Single"/>
    <x v="0"/>
    <n v="130000"/>
    <n v="2"/>
    <x v="0"/>
    <x v="0"/>
    <x v="4"/>
    <s v="No"/>
    <n v="4"/>
    <s v="Have Car"/>
    <x v="0"/>
    <x v="2"/>
    <n v="67"/>
    <x v="0"/>
  </r>
  <r>
    <n v="852"/>
    <s v="Married"/>
    <x v="1"/>
    <n v="60000"/>
    <n v="0"/>
    <x v="1"/>
    <x v="1"/>
    <x v="0"/>
    <s v="Yes"/>
    <n v="1"/>
    <s v="Have Car"/>
    <x v="2"/>
    <x v="2"/>
    <n v="32"/>
    <x v="1"/>
  </r>
  <r>
    <n v="853"/>
    <s v="Single"/>
    <x v="1"/>
    <n v="50000"/>
    <n v="2"/>
    <x v="0"/>
    <x v="0"/>
    <x v="0"/>
    <s v="No"/>
    <n v="1"/>
    <s v="Have Car"/>
    <x v="0"/>
    <x v="2"/>
    <n v="39"/>
    <x v="1"/>
  </r>
  <r>
    <n v="854"/>
    <s v="Single"/>
    <x v="1"/>
    <n v="60000"/>
    <n v="1"/>
    <x v="0"/>
    <x v="4"/>
    <x v="2"/>
    <s v="Yes"/>
    <n v="0"/>
    <s v="NoCar"/>
    <x v="1"/>
    <x v="2"/>
    <n v="35"/>
    <x v="1"/>
  </r>
  <r>
    <n v="855"/>
    <s v="Married"/>
    <x v="0"/>
    <n v="60000"/>
    <n v="0"/>
    <x v="1"/>
    <x v="1"/>
    <x v="2"/>
    <s v="Yes"/>
    <n v="2"/>
    <s v="Have Car"/>
    <x v="2"/>
    <x v="2"/>
    <n v="32"/>
    <x v="0"/>
  </r>
  <r>
    <n v="856"/>
    <s v="Single"/>
    <x v="0"/>
    <n v="30000"/>
    <n v="0"/>
    <x v="1"/>
    <x v="1"/>
    <x v="0"/>
    <s v="No"/>
    <n v="1"/>
    <s v="Have Car"/>
    <x v="3"/>
    <x v="2"/>
    <n v="31"/>
    <x v="0"/>
  </r>
  <r>
    <n v="857"/>
    <s v="Single"/>
    <x v="1"/>
    <n v="40000"/>
    <n v="0"/>
    <x v="1"/>
    <x v="1"/>
    <x v="0"/>
    <s v="Yes"/>
    <n v="1"/>
    <s v="Have Car"/>
    <x v="2"/>
    <x v="2"/>
    <n v="27"/>
    <x v="0"/>
  </r>
  <r>
    <n v="858"/>
    <s v="Married"/>
    <x v="0"/>
    <n v="60000"/>
    <n v="1"/>
    <x v="0"/>
    <x v="0"/>
    <x v="2"/>
    <s v="Yes"/>
    <n v="1"/>
    <s v="Have Car"/>
    <x v="0"/>
    <x v="2"/>
    <n v="47"/>
    <x v="1"/>
  </r>
  <r>
    <n v="859"/>
    <s v="Married"/>
    <x v="1"/>
    <n v="40000"/>
    <n v="0"/>
    <x v="1"/>
    <x v="0"/>
    <x v="2"/>
    <s v="No"/>
    <n v="1"/>
    <s v="Have Car"/>
    <x v="0"/>
    <x v="2"/>
    <n v="42"/>
    <x v="0"/>
  </r>
  <r>
    <n v="860"/>
    <s v="Married"/>
    <x v="1"/>
    <n v="30000"/>
    <n v="2"/>
    <x v="0"/>
    <x v="2"/>
    <x v="0"/>
    <s v="Yes"/>
    <n v="2"/>
    <s v="Have Car"/>
    <x v="3"/>
    <x v="2"/>
    <n v="49"/>
    <x v="0"/>
  </r>
  <r>
    <n v="861"/>
    <s v="Single"/>
    <x v="1"/>
    <n v="30000"/>
    <n v="0"/>
    <x v="1"/>
    <x v="1"/>
    <x v="0"/>
    <s v="Yes"/>
    <n v="1"/>
    <s v="Have Car"/>
    <x v="2"/>
    <x v="2"/>
    <n v="32"/>
    <x v="0"/>
  </r>
  <r>
    <n v="862"/>
    <s v="Married"/>
    <x v="0"/>
    <n v="20000"/>
    <n v="2"/>
    <x v="0"/>
    <x v="2"/>
    <x v="3"/>
    <s v="No"/>
    <n v="2"/>
    <s v="Have Car"/>
    <x v="3"/>
    <x v="2"/>
    <n v="53"/>
    <x v="1"/>
  </r>
  <r>
    <n v="863"/>
    <s v="Married"/>
    <x v="1"/>
    <n v="50000"/>
    <n v="0"/>
    <x v="1"/>
    <x v="4"/>
    <x v="0"/>
    <s v="Yes"/>
    <n v="0"/>
    <s v="NoCar"/>
    <x v="3"/>
    <x v="2"/>
    <n v="32"/>
    <x v="1"/>
  </r>
  <r>
    <n v="864"/>
    <s v="Single"/>
    <x v="1"/>
    <n v="80000"/>
    <n v="0"/>
    <x v="1"/>
    <x v="0"/>
    <x v="4"/>
    <s v="No"/>
    <n v="1"/>
    <s v="Have Car"/>
    <x v="0"/>
    <x v="2"/>
    <n v="38"/>
    <x v="1"/>
  </r>
  <r>
    <n v="865"/>
    <s v="Single"/>
    <x v="1"/>
    <n v="40000"/>
    <n v="0"/>
    <x v="1"/>
    <x v="2"/>
    <x v="0"/>
    <s v="Yes"/>
    <n v="2"/>
    <s v="Have Car"/>
    <x v="2"/>
    <x v="2"/>
    <n v="31"/>
    <x v="0"/>
  </r>
  <r>
    <n v="866"/>
    <s v="Single"/>
    <x v="0"/>
    <n v="80000"/>
    <n v="0"/>
    <x v="1"/>
    <x v="0"/>
    <x v="4"/>
    <s v="No"/>
    <n v="1"/>
    <s v="Have Car"/>
    <x v="0"/>
    <x v="2"/>
    <n v="38"/>
    <x v="1"/>
  </r>
  <r>
    <n v="867"/>
    <s v="Married"/>
    <x v="1"/>
    <n v="60000"/>
    <n v="2"/>
    <x v="0"/>
    <x v="2"/>
    <x v="2"/>
    <s v="Yes"/>
    <n v="2"/>
    <s v="Have Car"/>
    <x v="4"/>
    <x v="2"/>
    <n v="55"/>
    <x v="0"/>
  </r>
  <r>
    <n v="868"/>
    <s v="Married"/>
    <x v="1"/>
    <n v="70000"/>
    <n v="3"/>
    <x v="0"/>
    <x v="1"/>
    <x v="2"/>
    <s v="Yes"/>
    <n v="1"/>
    <s v="Have Car"/>
    <x v="2"/>
    <x v="2"/>
    <n v="49"/>
    <x v="0"/>
  </r>
  <r>
    <n v="869"/>
    <s v="Single"/>
    <x v="1"/>
    <n v="30000"/>
    <n v="5"/>
    <x v="0"/>
    <x v="3"/>
    <x v="0"/>
    <s v="Yes"/>
    <n v="3"/>
    <s v="Have Car"/>
    <x v="4"/>
    <x v="2"/>
    <n v="60"/>
    <x v="1"/>
  </r>
  <r>
    <n v="870"/>
    <s v="Single"/>
    <x v="0"/>
    <n v="110000"/>
    <n v="3"/>
    <x v="0"/>
    <x v="0"/>
    <x v="4"/>
    <s v="No"/>
    <n v="4"/>
    <s v="Have Car"/>
    <x v="3"/>
    <x v="2"/>
    <n v="42"/>
    <x v="0"/>
  </r>
  <r>
    <n v="871"/>
    <s v="Married"/>
    <x v="1"/>
    <n v="60000"/>
    <n v="1"/>
    <x v="0"/>
    <x v="1"/>
    <x v="0"/>
    <s v="Yes"/>
    <n v="1"/>
    <s v="Have Car"/>
    <x v="0"/>
    <x v="2"/>
    <n v="46"/>
    <x v="0"/>
  </r>
  <r>
    <n v="872"/>
    <s v="Married"/>
    <x v="1"/>
    <n v="60000"/>
    <n v="2"/>
    <x v="0"/>
    <x v="2"/>
    <x v="2"/>
    <s v="Yes"/>
    <n v="2"/>
    <s v="Have Car"/>
    <x v="4"/>
    <x v="2"/>
    <n v="55"/>
    <x v="0"/>
  </r>
  <r>
    <n v="873"/>
    <s v="Single"/>
    <x v="0"/>
    <n v="70000"/>
    <n v="3"/>
    <x v="0"/>
    <x v="4"/>
    <x v="4"/>
    <s v="Yes"/>
    <n v="2"/>
    <s v="Have Car"/>
    <x v="2"/>
    <x v="2"/>
    <n v="53"/>
    <x v="1"/>
  </r>
  <r>
    <n v="874"/>
    <s v="Married"/>
    <x v="1"/>
    <n v="50000"/>
    <n v="3"/>
    <x v="0"/>
    <x v="0"/>
    <x v="0"/>
    <s v="Yes"/>
    <n v="2"/>
    <s v="Have Car"/>
    <x v="1"/>
    <x v="2"/>
    <n v="40"/>
    <x v="0"/>
  </r>
  <r>
    <n v="875"/>
    <s v="Married"/>
    <x v="0"/>
    <n v="30000"/>
    <n v="1"/>
    <x v="0"/>
    <x v="0"/>
    <x v="0"/>
    <s v="Yes"/>
    <n v="1"/>
    <s v="Have Car"/>
    <x v="2"/>
    <x v="2"/>
    <n v="53"/>
    <x v="1"/>
  </r>
  <r>
    <n v="876"/>
    <s v="Single"/>
    <x v="0"/>
    <n v="70000"/>
    <n v="2"/>
    <x v="0"/>
    <x v="0"/>
    <x v="0"/>
    <s v="Yes"/>
    <n v="0"/>
    <s v="NoCar"/>
    <x v="1"/>
    <x v="2"/>
    <n v="38"/>
    <x v="1"/>
  </r>
  <r>
    <n v="877"/>
    <s v="Single"/>
    <x v="1"/>
    <n v="30000"/>
    <n v="0"/>
    <x v="1"/>
    <x v="3"/>
    <x v="1"/>
    <s v="No"/>
    <n v="2"/>
    <s v="Have Car"/>
    <x v="0"/>
    <x v="2"/>
    <n v="26"/>
    <x v="0"/>
  </r>
  <r>
    <n v="878"/>
    <s v="Married"/>
    <x v="1"/>
    <n v="70000"/>
    <n v="5"/>
    <x v="0"/>
    <x v="0"/>
    <x v="4"/>
    <s v="Yes"/>
    <n v="2"/>
    <s v="Have Car"/>
    <x v="1"/>
    <x v="2"/>
    <n v="61"/>
    <x v="0"/>
  </r>
  <r>
    <n v="879"/>
    <s v="Married"/>
    <x v="1"/>
    <n v="50000"/>
    <n v="2"/>
    <x v="0"/>
    <x v="4"/>
    <x v="4"/>
    <s v="Yes"/>
    <n v="2"/>
    <s v="Have Car"/>
    <x v="2"/>
    <x v="2"/>
    <n v="71"/>
    <x v="0"/>
  </r>
  <r>
    <n v="880"/>
    <s v="Married"/>
    <x v="1"/>
    <n v="90000"/>
    <n v="4"/>
    <x v="0"/>
    <x v="2"/>
    <x v="2"/>
    <s v="Yes"/>
    <n v="2"/>
    <s v="Have Car"/>
    <x v="3"/>
    <x v="2"/>
    <n v="45"/>
    <x v="0"/>
  </r>
  <r>
    <n v="881"/>
    <s v="Married"/>
    <x v="1"/>
    <n v="80000"/>
    <n v="2"/>
    <x v="0"/>
    <x v="4"/>
    <x v="2"/>
    <s v="Yes"/>
    <n v="0"/>
    <s v="NoCar"/>
    <x v="0"/>
    <x v="2"/>
    <n v="37"/>
    <x v="1"/>
  </r>
  <r>
    <n v="882"/>
    <s v="Married"/>
    <x v="0"/>
    <n v="80000"/>
    <n v="4"/>
    <x v="0"/>
    <x v="4"/>
    <x v="4"/>
    <s v="Yes"/>
    <n v="2"/>
    <s v="Have Car"/>
    <x v="0"/>
    <x v="2"/>
    <n v="72"/>
    <x v="1"/>
  </r>
  <r>
    <n v="883"/>
    <s v="Married"/>
    <x v="1"/>
    <n v="30000"/>
    <n v="0"/>
    <x v="1"/>
    <x v="4"/>
    <x v="0"/>
    <s v="Yes"/>
    <n v="0"/>
    <s v="NoCar"/>
    <x v="0"/>
    <x v="2"/>
    <n v="32"/>
    <x v="0"/>
  </r>
  <r>
    <n v="884"/>
    <s v="Married"/>
    <x v="0"/>
    <n v="60000"/>
    <n v="1"/>
    <x v="0"/>
    <x v="0"/>
    <x v="2"/>
    <s v="Yes"/>
    <n v="1"/>
    <s v="Have Car"/>
    <x v="1"/>
    <x v="2"/>
    <n v="48"/>
    <x v="1"/>
  </r>
  <r>
    <n v="885"/>
    <s v="Married"/>
    <x v="1"/>
    <n v="80000"/>
    <n v="4"/>
    <x v="0"/>
    <x v="4"/>
    <x v="4"/>
    <s v="Yes"/>
    <n v="2"/>
    <s v="Have Car"/>
    <x v="2"/>
    <x v="2"/>
    <n v="68"/>
    <x v="0"/>
  </r>
  <r>
    <n v="886"/>
    <s v="Married"/>
    <x v="0"/>
    <n v="20000"/>
    <n v="2"/>
    <x v="0"/>
    <x v="3"/>
    <x v="1"/>
    <s v="Yes"/>
    <n v="2"/>
    <s v="Have Car"/>
    <x v="0"/>
    <x v="2"/>
    <n v="49"/>
    <x v="0"/>
  </r>
  <r>
    <n v="887"/>
    <s v="Married"/>
    <x v="1"/>
    <n v="70000"/>
    <n v="3"/>
    <x v="0"/>
    <x v="4"/>
    <x v="2"/>
    <s v="Yes"/>
    <n v="0"/>
    <s v="NoCar"/>
    <x v="1"/>
    <x v="2"/>
    <n v="34"/>
    <x v="0"/>
  </r>
  <r>
    <n v="888"/>
    <s v="Married"/>
    <x v="1"/>
    <n v="50000"/>
    <n v="0"/>
    <x v="1"/>
    <x v="4"/>
    <x v="0"/>
    <s v="Yes"/>
    <n v="0"/>
    <s v="NoCar"/>
    <x v="0"/>
    <x v="2"/>
    <n v="32"/>
    <x v="0"/>
  </r>
  <r>
    <n v="889"/>
    <s v="Single"/>
    <x v="0"/>
    <n v="60000"/>
    <n v="4"/>
    <x v="0"/>
    <x v="0"/>
    <x v="0"/>
    <s v="No"/>
    <n v="2"/>
    <s v="Have Car"/>
    <x v="0"/>
    <x v="2"/>
    <n v="42"/>
    <x v="0"/>
  </r>
  <r>
    <n v="890"/>
    <s v="Married"/>
    <x v="0"/>
    <n v="70000"/>
    <n v="1"/>
    <x v="0"/>
    <x v="4"/>
    <x v="0"/>
    <s v="Yes"/>
    <n v="0"/>
    <s v="NoCar"/>
    <x v="0"/>
    <x v="2"/>
    <n v="35"/>
    <x v="1"/>
  </r>
  <r>
    <n v="891"/>
    <s v="Married"/>
    <x v="0"/>
    <n v="40000"/>
    <n v="2"/>
    <x v="0"/>
    <x v="1"/>
    <x v="1"/>
    <s v="Yes"/>
    <n v="1"/>
    <s v="Have Car"/>
    <x v="0"/>
    <x v="2"/>
    <n v="48"/>
    <x v="0"/>
  </r>
  <r>
    <n v="892"/>
    <s v="Single"/>
    <x v="1"/>
    <n v="100000"/>
    <n v="1"/>
    <x v="0"/>
    <x v="4"/>
    <x v="4"/>
    <s v="Yes"/>
    <n v="3"/>
    <s v="Have Car"/>
    <x v="1"/>
    <x v="2"/>
    <n v="73"/>
    <x v="1"/>
  </r>
  <r>
    <n v="893"/>
    <s v="Single"/>
    <x v="0"/>
    <n v="70000"/>
    <n v="4"/>
    <x v="0"/>
    <x v="0"/>
    <x v="0"/>
    <s v="Yes"/>
    <n v="2"/>
    <s v="Have Car"/>
    <x v="1"/>
    <x v="2"/>
    <n v="43"/>
    <x v="1"/>
  </r>
  <r>
    <n v="894"/>
    <s v="Married"/>
    <x v="1"/>
    <n v="60000"/>
    <n v="1"/>
    <x v="0"/>
    <x v="4"/>
    <x v="2"/>
    <s v="Yes"/>
    <n v="0"/>
    <s v="NoCar"/>
    <x v="0"/>
    <x v="2"/>
    <n v="35"/>
    <x v="0"/>
  </r>
  <r>
    <n v="895"/>
    <s v="Married"/>
    <x v="1"/>
    <n v="70000"/>
    <n v="3"/>
    <x v="0"/>
    <x v="4"/>
    <x v="2"/>
    <s v="Yes"/>
    <n v="0"/>
    <s v="NoCar"/>
    <x v="0"/>
    <x v="2"/>
    <n v="35"/>
    <x v="1"/>
  </r>
  <r>
    <n v="896"/>
    <s v="Married"/>
    <x v="0"/>
    <n v="50000"/>
    <n v="4"/>
    <x v="0"/>
    <x v="0"/>
    <x v="4"/>
    <s v="Yes"/>
    <n v="2"/>
    <s v="Have Car"/>
    <x v="3"/>
    <x v="2"/>
    <n v="64"/>
    <x v="1"/>
  </r>
  <r>
    <n v="897"/>
    <s v="Married"/>
    <x v="0"/>
    <n v="50000"/>
    <n v="1"/>
    <x v="0"/>
    <x v="0"/>
    <x v="0"/>
    <s v="Yes"/>
    <n v="0"/>
    <s v="NoCar"/>
    <x v="0"/>
    <x v="2"/>
    <n v="34"/>
    <x v="1"/>
  </r>
  <r>
    <n v="898"/>
    <s v="Married"/>
    <x v="1"/>
    <n v="30000"/>
    <n v="0"/>
    <x v="1"/>
    <x v="3"/>
    <x v="1"/>
    <s v="No"/>
    <n v="2"/>
    <s v="Have Car"/>
    <x v="0"/>
    <x v="2"/>
    <n v="28"/>
    <x v="0"/>
  </r>
  <r>
    <n v="899"/>
    <s v="Single"/>
    <x v="1"/>
    <n v="70000"/>
    <n v="5"/>
    <x v="0"/>
    <x v="0"/>
    <x v="4"/>
    <s v="Yes"/>
    <n v="3"/>
    <s v="Have Car"/>
    <x v="4"/>
    <x v="2"/>
    <n v="60"/>
    <x v="1"/>
  </r>
  <r>
    <n v="900"/>
    <s v="Married"/>
    <x v="0"/>
    <n v="70000"/>
    <n v="5"/>
    <x v="0"/>
    <x v="4"/>
    <x v="2"/>
    <s v="Yes"/>
    <n v="3"/>
    <s v="Have Car"/>
    <x v="4"/>
    <x v="2"/>
    <n v="46"/>
    <x v="0"/>
  </r>
  <r>
    <n v="901"/>
    <s v="Married"/>
    <x v="1"/>
    <n v="40000"/>
    <n v="4"/>
    <x v="0"/>
    <x v="2"/>
    <x v="0"/>
    <s v="Yes"/>
    <n v="2"/>
    <s v="Have Car"/>
    <x v="0"/>
    <x v="2"/>
    <n v="44"/>
    <x v="1"/>
  </r>
  <r>
    <n v="902"/>
    <s v="Single"/>
    <x v="0"/>
    <n v="60000"/>
    <n v="4"/>
    <x v="0"/>
    <x v="0"/>
    <x v="0"/>
    <s v="Yes"/>
    <n v="2"/>
    <s v="Have Car"/>
    <x v="1"/>
    <x v="2"/>
    <n v="42"/>
    <x v="1"/>
  </r>
  <r>
    <n v="903"/>
    <s v="Single"/>
    <x v="1"/>
    <n v="80000"/>
    <n v="3"/>
    <x v="0"/>
    <x v="0"/>
    <x v="0"/>
    <s v="Yes"/>
    <n v="0"/>
    <s v="NoCar"/>
    <x v="1"/>
    <x v="2"/>
    <n v="40"/>
    <x v="0"/>
  </r>
  <r>
    <n v="904"/>
    <s v="Single"/>
    <x v="1"/>
    <n v="90000"/>
    <n v="4"/>
    <x v="0"/>
    <x v="4"/>
    <x v="4"/>
    <s v="Yes"/>
    <n v="1"/>
    <s v="Have Car"/>
    <x v="2"/>
    <x v="2"/>
    <n v="73"/>
    <x v="0"/>
  </r>
  <r>
    <n v="905"/>
    <s v="Single"/>
    <x v="0"/>
    <n v="60000"/>
    <n v="2"/>
    <x v="0"/>
    <x v="0"/>
    <x v="0"/>
    <s v="No"/>
    <n v="0"/>
    <s v="NoCar"/>
    <x v="0"/>
    <x v="2"/>
    <n v="36"/>
    <x v="1"/>
  </r>
  <r>
    <n v="906"/>
    <s v="Single"/>
    <x v="1"/>
    <n v="90000"/>
    <n v="4"/>
    <x v="0"/>
    <x v="0"/>
    <x v="4"/>
    <s v="Yes"/>
    <n v="1"/>
    <s v="Have Car"/>
    <x v="3"/>
    <x v="2"/>
    <n v="38"/>
    <x v="1"/>
  </r>
  <r>
    <n v="907"/>
    <s v="Married"/>
    <x v="1"/>
    <n v="60000"/>
    <n v="1"/>
    <x v="0"/>
    <x v="4"/>
    <x v="2"/>
    <s v="Yes"/>
    <n v="0"/>
    <s v="NoCar"/>
    <x v="1"/>
    <x v="2"/>
    <n v="34"/>
    <x v="1"/>
  </r>
  <r>
    <n v="908"/>
    <s v="Married"/>
    <x v="1"/>
    <n v="50000"/>
    <n v="4"/>
    <x v="0"/>
    <x v="0"/>
    <x v="4"/>
    <s v="Yes"/>
    <n v="2"/>
    <s v="Have Car"/>
    <x v="4"/>
    <x v="2"/>
    <n v="63"/>
    <x v="0"/>
  </r>
  <r>
    <n v="909"/>
    <s v="Single"/>
    <x v="1"/>
    <n v="50000"/>
    <n v="3"/>
    <x v="0"/>
    <x v="0"/>
    <x v="0"/>
    <s v="Yes"/>
    <n v="2"/>
    <s v="Have Car"/>
    <x v="1"/>
    <x v="2"/>
    <n v="41"/>
    <x v="1"/>
  </r>
  <r>
    <n v="910"/>
    <s v="Married"/>
    <x v="1"/>
    <n v="60000"/>
    <n v="0"/>
    <x v="1"/>
    <x v="4"/>
    <x v="0"/>
    <s v="Yes"/>
    <n v="0"/>
    <s v="NoCar"/>
    <x v="3"/>
    <x v="2"/>
    <n v="39"/>
    <x v="1"/>
  </r>
  <r>
    <n v="911"/>
    <s v="Married"/>
    <x v="1"/>
    <n v="40000"/>
    <n v="4"/>
    <x v="0"/>
    <x v="2"/>
    <x v="0"/>
    <s v="Yes"/>
    <n v="2"/>
    <s v="Have Car"/>
    <x v="1"/>
    <x v="2"/>
    <n v="46"/>
    <x v="0"/>
  </r>
  <r>
    <n v="912"/>
    <s v="Married"/>
    <x v="0"/>
    <n v="80000"/>
    <n v="5"/>
    <x v="0"/>
    <x v="0"/>
    <x v="4"/>
    <s v="Yes"/>
    <n v="2"/>
    <s v="Have Car"/>
    <x v="2"/>
    <x v="2"/>
    <n v="64"/>
    <x v="0"/>
  </r>
  <r>
    <n v="913"/>
    <s v="Married"/>
    <x v="0"/>
    <n v="40000"/>
    <n v="3"/>
    <x v="0"/>
    <x v="1"/>
    <x v="1"/>
    <s v="Yes"/>
    <n v="1"/>
    <s v="Have Car"/>
    <x v="3"/>
    <x v="2"/>
    <n v="32"/>
    <x v="0"/>
  </r>
  <r>
    <n v="914"/>
    <s v="Single"/>
    <x v="1"/>
    <n v="60000"/>
    <n v="2"/>
    <x v="0"/>
    <x v="0"/>
    <x v="0"/>
    <s v="Yes"/>
    <n v="0"/>
    <s v="NoCar"/>
    <x v="1"/>
    <x v="2"/>
    <n v="36"/>
    <x v="1"/>
  </r>
  <r>
    <n v="915"/>
    <s v="Single"/>
    <x v="1"/>
    <n v="80000"/>
    <n v="5"/>
    <x v="0"/>
    <x v="4"/>
    <x v="0"/>
    <s v="No"/>
    <n v="0"/>
    <s v="NoCar"/>
    <x v="0"/>
    <x v="2"/>
    <n v="47"/>
    <x v="0"/>
  </r>
  <r>
    <n v="916"/>
    <s v="Married"/>
    <x v="1"/>
    <n v="60000"/>
    <n v="3"/>
    <x v="0"/>
    <x v="4"/>
    <x v="4"/>
    <s v="Yes"/>
    <n v="2"/>
    <s v="Have Car"/>
    <x v="4"/>
    <x v="2"/>
    <n v="64"/>
    <x v="0"/>
  </r>
  <r>
    <n v="917"/>
    <s v="Single"/>
    <x v="1"/>
    <n v="70000"/>
    <n v="3"/>
    <x v="0"/>
    <x v="4"/>
    <x v="2"/>
    <s v="No"/>
    <n v="0"/>
    <s v="NoCar"/>
    <x v="0"/>
    <x v="2"/>
    <n v="35"/>
    <x v="1"/>
  </r>
  <r>
    <n v="918"/>
    <s v="Single"/>
    <x v="1"/>
    <n v="110000"/>
    <n v="3"/>
    <x v="0"/>
    <x v="0"/>
    <x v="4"/>
    <s v="Yes"/>
    <n v="4"/>
    <s v="Have Car"/>
    <x v="1"/>
    <x v="2"/>
    <n v="40"/>
    <x v="1"/>
  </r>
  <r>
    <n v="919"/>
    <s v="Married"/>
    <x v="0"/>
    <n v="70000"/>
    <n v="0"/>
    <x v="1"/>
    <x v="1"/>
    <x v="0"/>
    <s v="Yes"/>
    <n v="2"/>
    <s v="Have Car"/>
    <x v="2"/>
    <x v="2"/>
    <n v="34"/>
    <x v="1"/>
  </r>
  <r>
    <n v="920"/>
    <s v="Married"/>
    <x v="0"/>
    <n v="40000"/>
    <n v="4"/>
    <x v="0"/>
    <x v="2"/>
    <x v="2"/>
    <s v="Yes"/>
    <n v="2"/>
    <s v="Have Car"/>
    <x v="4"/>
    <x v="2"/>
    <n v="61"/>
    <x v="0"/>
  </r>
  <r>
    <n v="921"/>
    <s v="Married"/>
    <x v="1"/>
    <n v="30000"/>
    <n v="2"/>
    <x v="0"/>
    <x v="2"/>
    <x v="0"/>
    <s v="Yes"/>
    <n v="2"/>
    <s v="Have Car"/>
    <x v="3"/>
    <x v="2"/>
    <n v="51"/>
    <x v="0"/>
  </r>
  <r>
    <n v="922"/>
    <s v="Single"/>
    <x v="0"/>
    <n v="70000"/>
    <n v="3"/>
    <x v="0"/>
    <x v="1"/>
    <x v="2"/>
    <s v="Yes"/>
    <n v="1"/>
    <s v="Have Car"/>
    <x v="2"/>
    <x v="2"/>
    <n v="49"/>
    <x v="1"/>
  </r>
  <r>
    <n v="923"/>
    <s v="Married"/>
    <x v="0"/>
    <n v="40000"/>
    <n v="3"/>
    <x v="0"/>
    <x v="1"/>
    <x v="2"/>
    <s v="No"/>
    <n v="2"/>
    <s v="Have Car"/>
    <x v="3"/>
    <x v="2"/>
    <n v="54"/>
    <x v="1"/>
  </r>
  <r>
    <n v="924"/>
    <s v="Single"/>
    <x v="1"/>
    <n v="70000"/>
    <n v="3"/>
    <x v="0"/>
    <x v="4"/>
    <x v="4"/>
    <s v="No"/>
    <n v="2"/>
    <s v="Have Car"/>
    <x v="3"/>
    <x v="2"/>
    <n v="53"/>
    <x v="1"/>
  </r>
  <r>
    <n v="925"/>
    <s v="Single"/>
    <x v="1"/>
    <n v="90000"/>
    <n v="2"/>
    <x v="0"/>
    <x v="1"/>
    <x v="2"/>
    <s v="Yes"/>
    <n v="1"/>
    <s v="Have Car"/>
    <x v="1"/>
    <x v="2"/>
    <n v="48"/>
    <x v="1"/>
  </r>
  <r>
    <n v="926"/>
    <s v="Single"/>
    <x v="0"/>
    <n v="50000"/>
    <n v="0"/>
    <x v="1"/>
    <x v="4"/>
    <x v="0"/>
    <s v="Yes"/>
    <n v="0"/>
    <s v="NoCar"/>
    <x v="3"/>
    <x v="2"/>
    <n v="33"/>
    <x v="1"/>
  </r>
  <r>
    <n v="927"/>
    <s v="Single"/>
    <x v="0"/>
    <n v="40000"/>
    <n v="2"/>
    <x v="0"/>
    <x v="2"/>
    <x v="2"/>
    <s v="Yes"/>
    <n v="2"/>
    <s v="Have Car"/>
    <x v="4"/>
    <x v="2"/>
    <n v="57"/>
    <x v="0"/>
  </r>
  <r>
    <n v="928"/>
    <s v="Married"/>
    <x v="0"/>
    <n v="70000"/>
    <n v="0"/>
    <x v="1"/>
    <x v="4"/>
    <x v="2"/>
    <s v="Yes"/>
    <n v="0"/>
    <s v="NoCar"/>
    <x v="1"/>
    <x v="2"/>
    <n v="39"/>
    <x v="0"/>
  </r>
  <r>
    <n v="929"/>
    <s v="Married"/>
    <x v="1"/>
    <n v="60000"/>
    <n v="2"/>
    <x v="0"/>
    <x v="2"/>
    <x v="2"/>
    <s v="Yes"/>
    <n v="2"/>
    <s v="Have Car"/>
    <x v="2"/>
    <x v="2"/>
    <n v="48"/>
    <x v="0"/>
  </r>
  <r>
    <n v="930"/>
    <s v="Married"/>
    <x v="1"/>
    <n v="60000"/>
    <n v="2"/>
    <x v="0"/>
    <x v="2"/>
    <x v="2"/>
    <s v="Yes"/>
    <n v="2"/>
    <s v="Have Car"/>
    <x v="2"/>
    <x v="2"/>
    <n v="50"/>
    <x v="0"/>
  </r>
  <r>
    <n v="931"/>
    <s v="Married"/>
    <x v="1"/>
    <n v="70000"/>
    <n v="5"/>
    <x v="0"/>
    <x v="4"/>
    <x v="2"/>
    <s v="No"/>
    <n v="3"/>
    <s v="Have Car"/>
    <x v="4"/>
    <x v="2"/>
    <n v="47"/>
    <x v="0"/>
  </r>
  <r>
    <n v="932"/>
    <s v="Married"/>
    <x v="0"/>
    <n v="40000"/>
    <n v="1"/>
    <x v="0"/>
    <x v="1"/>
    <x v="1"/>
    <s v="Yes"/>
    <n v="1"/>
    <s v="Have Car"/>
    <x v="3"/>
    <x v="2"/>
    <n v="49"/>
    <x v="1"/>
  </r>
  <r>
    <n v="933"/>
    <s v="Single"/>
    <x v="0"/>
    <n v="40000"/>
    <n v="0"/>
    <x v="1"/>
    <x v="2"/>
    <x v="0"/>
    <s v="No"/>
    <n v="2"/>
    <s v="Have Car"/>
    <x v="0"/>
    <x v="2"/>
    <n v="27"/>
    <x v="1"/>
  </r>
  <r>
    <n v="934"/>
    <s v="Single"/>
    <x v="1"/>
    <n v="60000"/>
    <n v="0"/>
    <x v="1"/>
    <x v="1"/>
    <x v="0"/>
    <s v="Yes"/>
    <n v="0"/>
    <s v="NoCar"/>
    <x v="2"/>
    <x v="2"/>
    <n v="29"/>
    <x v="0"/>
  </r>
  <r>
    <n v="935"/>
    <s v="Married"/>
    <x v="1"/>
    <n v="60000"/>
    <n v="2"/>
    <x v="0"/>
    <x v="0"/>
    <x v="4"/>
    <s v="Yes"/>
    <n v="0"/>
    <s v="NoCar"/>
    <x v="1"/>
    <x v="2"/>
    <n v="59"/>
    <x v="0"/>
  </r>
  <r>
    <n v="936"/>
    <s v="Married"/>
    <x v="0"/>
    <n v="60000"/>
    <n v="1"/>
    <x v="0"/>
    <x v="1"/>
    <x v="0"/>
    <s v="Yes"/>
    <n v="1"/>
    <s v="Have Car"/>
    <x v="0"/>
    <x v="2"/>
    <n v="45"/>
    <x v="1"/>
  </r>
  <r>
    <n v="937"/>
    <s v="Married"/>
    <x v="0"/>
    <n v="60000"/>
    <n v="4"/>
    <x v="0"/>
    <x v="0"/>
    <x v="4"/>
    <s v="Yes"/>
    <n v="2"/>
    <s v="Have Car"/>
    <x v="1"/>
    <x v="2"/>
    <n v="60"/>
    <x v="0"/>
  </r>
  <r>
    <n v="938"/>
    <s v="Married"/>
    <x v="1"/>
    <n v="70000"/>
    <n v="4"/>
    <x v="0"/>
    <x v="4"/>
    <x v="2"/>
    <s v="Yes"/>
    <n v="0"/>
    <s v="NoCar"/>
    <x v="0"/>
    <x v="2"/>
    <n v="36"/>
    <x v="1"/>
  </r>
  <r>
    <n v="939"/>
    <s v="Married"/>
    <x v="0"/>
    <n v="40000"/>
    <n v="0"/>
    <x v="1"/>
    <x v="2"/>
    <x v="0"/>
    <s v="Yes"/>
    <n v="2"/>
    <s v="Have Car"/>
    <x v="2"/>
    <x v="2"/>
    <n v="27"/>
    <x v="0"/>
  </r>
  <r>
    <n v="940"/>
    <s v="Single"/>
    <x v="1"/>
    <n v="80000"/>
    <n v="2"/>
    <x v="0"/>
    <x v="3"/>
    <x v="0"/>
    <s v="No"/>
    <n v="2"/>
    <s v="Have Car"/>
    <x v="3"/>
    <x v="2"/>
    <n v="50"/>
    <x v="0"/>
  </r>
  <r>
    <n v="941"/>
    <s v="Single"/>
    <x v="0"/>
    <n v="60000"/>
    <n v="1"/>
    <x v="0"/>
    <x v="4"/>
    <x v="0"/>
    <s v="Yes"/>
    <n v="0"/>
    <s v="NoCar"/>
    <x v="3"/>
    <x v="2"/>
    <n v="35"/>
    <x v="0"/>
  </r>
  <r>
    <n v="942"/>
    <s v="Married"/>
    <x v="0"/>
    <n v="60000"/>
    <n v="1"/>
    <x v="0"/>
    <x v="4"/>
    <x v="0"/>
    <s v="Yes"/>
    <n v="0"/>
    <s v="NoCar"/>
    <x v="1"/>
    <x v="2"/>
    <n v="34"/>
    <x v="1"/>
  </r>
  <r>
    <n v="943"/>
    <s v="Married"/>
    <x v="0"/>
    <n v="40000"/>
    <n v="3"/>
    <x v="0"/>
    <x v="1"/>
    <x v="2"/>
    <s v="Yes"/>
    <n v="2"/>
    <s v="Have Car"/>
    <x v="2"/>
    <x v="2"/>
    <n v="54"/>
    <x v="0"/>
  </r>
  <r>
    <n v="944"/>
    <s v="Married"/>
    <x v="0"/>
    <n v="60000"/>
    <n v="4"/>
    <x v="0"/>
    <x v="0"/>
    <x v="0"/>
    <s v="No"/>
    <n v="2"/>
    <s v="Have Car"/>
    <x v="0"/>
    <x v="2"/>
    <n v="42"/>
    <x v="0"/>
  </r>
  <r>
    <n v="945"/>
    <s v="Married"/>
    <x v="0"/>
    <n v="50000"/>
    <n v="1"/>
    <x v="0"/>
    <x v="0"/>
    <x v="0"/>
    <s v="Yes"/>
    <n v="0"/>
    <s v="NoCar"/>
    <x v="1"/>
    <x v="2"/>
    <n v="34"/>
    <x v="1"/>
  </r>
  <r>
    <n v="946"/>
    <s v="Single"/>
    <x v="1"/>
    <n v="50000"/>
    <n v="2"/>
    <x v="0"/>
    <x v="0"/>
    <x v="0"/>
    <s v="No"/>
    <n v="1"/>
    <s v="Have Car"/>
    <x v="0"/>
    <x v="2"/>
    <n v="38"/>
    <x v="1"/>
  </r>
  <r>
    <n v="947"/>
    <s v="Married"/>
    <x v="0"/>
    <n v="90000"/>
    <n v="5"/>
    <x v="0"/>
    <x v="0"/>
    <x v="4"/>
    <s v="Yes"/>
    <n v="2"/>
    <s v="Have Car"/>
    <x v="3"/>
    <x v="2"/>
    <n v="63"/>
    <x v="1"/>
  </r>
  <r>
    <n v="948"/>
    <s v="Single"/>
    <x v="0"/>
    <n v="90000"/>
    <n v="4"/>
    <x v="0"/>
    <x v="2"/>
    <x v="2"/>
    <s v="No"/>
    <n v="3"/>
    <s v="Have Car"/>
    <x v="3"/>
    <x v="2"/>
    <n v="45"/>
    <x v="1"/>
  </r>
  <r>
    <n v="949"/>
    <s v="Single"/>
    <x v="0"/>
    <n v="60000"/>
    <n v="0"/>
    <x v="1"/>
    <x v="4"/>
    <x v="0"/>
    <s v="No"/>
    <n v="0"/>
    <s v="NoCar"/>
    <x v="0"/>
    <x v="2"/>
    <n v="40"/>
    <x v="0"/>
  </r>
  <r>
    <n v="950"/>
    <s v="Married"/>
    <x v="1"/>
    <n v="70000"/>
    <n v="2"/>
    <x v="0"/>
    <x v="3"/>
    <x v="0"/>
    <s v="Yes"/>
    <n v="2"/>
    <s v="Have Car"/>
    <x v="4"/>
    <x v="2"/>
    <n v="53"/>
    <x v="0"/>
  </r>
  <r>
    <n v="951"/>
    <s v="Single"/>
    <x v="0"/>
    <n v="70000"/>
    <n v="1"/>
    <x v="0"/>
    <x v="4"/>
    <x v="2"/>
    <s v="Yes"/>
    <n v="0"/>
    <s v="NoCar"/>
    <x v="1"/>
    <x v="2"/>
    <n v="34"/>
    <x v="0"/>
  </r>
  <r>
    <n v="952"/>
    <s v="Married"/>
    <x v="1"/>
    <n v="70000"/>
    <n v="0"/>
    <x v="1"/>
    <x v="0"/>
    <x v="2"/>
    <s v="No"/>
    <n v="1"/>
    <s v="Have Car"/>
    <x v="0"/>
    <x v="2"/>
    <n v="38"/>
    <x v="0"/>
  </r>
  <r>
    <n v="953"/>
    <s v="Married"/>
    <x v="0"/>
    <n v="70000"/>
    <n v="4"/>
    <x v="0"/>
    <x v="0"/>
    <x v="4"/>
    <s v="No"/>
    <n v="1"/>
    <s v="Have Car"/>
    <x v="3"/>
    <x v="2"/>
    <n v="59"/>
    <x v="0"/>
  </r>
  <r>
    <n v="954"/>
    <s v="Single"/>
    <x v="0"/>
    <n v="40000"/>
    <n v="3"/>
    <x v="0"/>
    <x v="1"/>
    <x v="1"/>
    <s v="Yes"/>
    <n v="1"/>
    <s v="Have Car"/>
    <x v="3"/>
    <x v="2"/>
    <n v="30"/>
    <x v="1"/>
  </r>
  <r>
    <n v="955"/>
    <s v="Married"/>
    <x v="1"/>
    <n v="60000"/>
    <n v="1"/>
    <x v="0"/>
    <x v="0"/>
    <x v="2"/>
    <s v="Yes"/>
    <n v="1"/>
    <s v="Have Car"/>
    <x v="0"/>
    <x v="2"/>
    <n v="48"/>
    <x v="1"/>
  </r>
  <r>
    <n v="956"/>
    <s v="Married"/>
    <x v="0"/>
    <n v="40000"/>
    <n v="4"/>
    <x v="0"/>
    <x v="2"/>
    <x v="0"/>
    <s v="Yes"/>
    <n v="2"/>
    <s v="Have Car"/>
    <x v="1"/>
    <x v="2"/>
    <n v="43"/>
    <x v="0"/>
  </r>
  <r>
    <n v="957"/>
    <s v="Married"/>
    <x v="0"/>
    <n v="70000"/>
    <n v="4"/>
    <x v="0"/>
    <x v="4"/>
    <x v="2"/>
    <s v="Yes"/>
    <n v="0"/>
    <s v="NoCar"/>
    <x v="1"/>
    <x v="2"/>
    <n v="35"/>
    <x v="1"/>
  </r>
  <r>
    <n v="958"/>
    <s v="Married"/>
    <x v="0"/>
    <n v="60000"/>
    <n v="0"/>
    <x v="1"/>
    <x v="1"/>
    <x v="2"/>
    <s v="Yes"/>
    <n v="2"/>
    <s v="Have Car"/>
    <x v="2"/>
    <x v="2"/>
    <n v="30"/>
    <x v="0"/>
  </r>
  <r>
    <n v="959"/>
    <s v="Married"/>
    <x v="1"/>
    <n v="90000"/>
    <n v="5"/>
    <x v="0"/>
    <x v="4"/>
    <x v="2"/>
    <s v="Yes"/>
    <n v="0"/>
    <s v="NoCar"/>
    <x v="0"/>
    <x v="2"/>
    <n v="47"/>
    <x v="1"/>
  </r>
  <r>
    <n v="960"/>
    <s v="Married"/>
    <x v="1"/>
    <n v="60000"/>
    <n v="1"/>
    <x v="0"/>
    <x v="1"/>
    <x v="0"/>
    <s v="Yes"/>
    <n v="1"/>
    <s v="Have Car"/>
    <x v="1"/>
    <x v="2"/>
    <n v="45"/>
    <x v="1"/>
  </r>
  <r>
    <n v="961"/>
    <s v="Single"/>
    <x v="1"/>
    <n v="100000"/>
    <n v="0"/>
    <x v="1"/>
    <x v="1"/>
    <x v="2"/>
    <s v="No"/>
    <n v="4"/>
    <s v="Have Car"/>
    <x v="3"/>
    <x v="2"/>
    <n v="45"/>
    <x v="0"/>
  </r>
  <r>
    <n v="962"/>
    <s v="Married"/>
    <x v="0"/>
    <n v="120000"/>
    <n v="2"/>
    <x v="0"/>
    <x v="0"/>
    <x v="4"/>
    <s v="Yes"/>
    <n v="3"/>
    <s v="Have Car"/>
    <x v="2"/>
    <x v="2"/>
    <n v="62"/>
    <x v="0"/>
  </r>
  <r>
    <n v="963"/>
    <s v="Married"/>
    <x v="1"/>
    <n v="60000"/>
    <n v="2"/>
    <x v="0"/>
    <x v="1"/>
    <x v="2"/>
    <s v="Yes"/>
    <n v="2"/>
    <s v="Have Car"/>
    <x v="4"/>
    <x v="2"/>
    <n v="55"/>
    <x v="0"/>
  </r>
  <r>
    <n v="964"/>
    <s v="Married"/>
    <x v="0"/>
    <n v="90000"/>
    <n v="5"/>
    <x v="0"/>
    <x v="0"/>
    <x v="4"/>
    <s v="Yes"/>
    <n v="2"/>
    <s v="Have Car"/>
    <x v="3"/>
    <x v="2"/>
    <n v="66"/>
    <x v="1"/>
  </r>
  <r>
    <n v="965"/>
    <s v="Single"/>
    <x v="1"/>
    <n v="70000"/>
    <n v="4"/>
    <x v="0"/>
    <x v="1"/>
    <x v="2"/>
    <s v="Yes"/>
    <n v="1"/>
    <s v="Have Car"/>
    <x v="4"/>
    <x v="2"/>
    <n v="56"/>
    <x v="0"/>
  </r>
  <r>
    <n v="966"/>
    <s v="Single"/>
    <x v="0"/>
    <n v="50000"/>
    <n v="3"/>
    <x v="0"/>
    <x v="0"/>
    <x v="0"/>
    <s v="No"/>
    <n v="1"/>
    <s v="Have Car"/>
    <x v="0"/>
    <x v="2"/>
    <n v="40"/>
    <x v="0"/>
  </r>
  <r>
    <n v="967"/>
    <s v="Married"/>
    <x v="0"/>
    <n v="50000"/>
    <n v="0"/>
    <x v="1"/>
    <x v="4"/>
    <x v="0"/>
    <s v="Yes"/>
    <n v="0"/>
    <s v="NoCar"/>
    <x v="3"/>
    <x v="2"/>
    <n v="33"/>
    <x v="1"/>
  </r>
  <r>
    <n v="968"/>
    <s v="Married"/>
    <x v="1"/>
    <n v="80000"/>
    <n v="3"/>
    <x v="0"/>
    <x v="0"/>
    <x v="4"/>
    <s v="Yes"/>
    <n v="1"/>
    <s v="Have Car"/>
    <x v="3"/>
    <x v="2"/>
    <n v="56"/>
    <x v="0"/>
  </r>
  <r>
    <n v="969"/>
    <s v="Single"/>
    <x v="1"/>
    <n v="30000"/>
    <n v="0"/>
    <x v="1"/>
    <x v="3"/>
    <x v="1"/>
    <s v="No"/>
    <n v="2"/>
    <s v="Have Car"/>
    <x v="2"/>
    <x v="2"/>
    <n v="27"/>
    <x v="0"/>
  </r>
  <r>
    <n v="970"/>
    <s v="Married"/>
    <x v="1"/>
    <n v="60000"/>
    <n v="0"/>
    <x v="1"/>
    <x v="4"/>
    <x v="2"/>
    <s v="No"/>
    <n v="0"/>
    <s v="NoCar"/>
    <x v="0"/>
    <x v="2"/>
    <n v="39"/>
    <x v="0"/>
  </r>
  <r>
    <n v="971"/>
    <s v="Married"/>
    <x v="0"/>
    <n v="60000"/>
    <n v="0"/>
    <x v="1"/>
    <x v="1"/>
    <x v="0"/>
    <s v="Yes"/>
    <n v="2"/>
    <s v="Have Car"/>
    <x v="2"/>
    <x v="2"/>
    <n v="31"/>
    <x v="0"/>
  </r>
  <r>
    <n v="972"/>
    <s v="Single"/>
    <x v="0"/>
    <n v="60000"/>
    <n v="2"/>
    <x v="0"/>
    <x v="3"/>
    <x v="0"/>
    <s v="No"/>
    <n v="2"/>
    <s v="Have Car"/>
    <x v="3"/>
    <x v="2"/>
    <n v="51"/>
    <x v="0"/>
  </r>
  <r>
    <n v="973"/>
    <s v="Married"/>
    <x v="0"/>
    <n v="30000"/>
    <n v="1"/>
    <x v="0"/>
    <x v="2"/>
    <x v="1"/>
    <s v="Yes"/>
    <n v="1"/>
    <s v="Have Car"/>
    <x v="2"/>
    <x v="2"/>
    <n v="52"/>
    <x v="0"/>
  </r>
  <r>
    <n v="974"/>
    <s v="Married"/>
    <x v="1"/>
    <n v="60000"/>
    <n v="1"/>
    <x v="0"/>
    <x v="1"/>
    <x v="0"/>
    <s v="No"/>
    <n v="1"/>
    <s v="Have Car"/>
    <x v="0"/>
    <x v="2"/>
    <n v="47"/>
    <x v="0"/>
  </r>
  <r>
    <n v="975"/>
    <s v="Married"/>
    <x v="1"/>
    <n v="70000"/>
    <n v="3"/>
    <x v="0"/>
    <x v="4"/>
    <x v="4"/>
    <s v="Yes"/>
    <n v="2"/>
    <s v="Have Car"/>
    <x v="2"/>
    <x v="2"/>
    <n v="53"/>
    <x v="1"/>
  </r>
  <r>
    <n v="976"/>
    <s v="Married"/>
    <x v="1"/>
    <n v="70000"/>
    <n v="3"/>
    <x v="0"/>
    <x v="4"/>
    <x v="2"/>
    <s v="Yes"/>
    <n v="0"/>
    <s v="NoCar"/>
    <x v="0"/>
    <x v="2"/>
    <n v="35"/>
    <x v="1"/>
  </r>
  <r>
    <n v="977"/>
    <s v="Married"/>
    <x v="0"/>
    <n v="60000"/>
    <n v="3"/>
    <x v="0"/>
    <x v="0"/>
    <x v="4"/>
    <s v="Yes"/>
    <n v="2"/>
    <s v="Have Car"/>
    <x v="4"/>
    <x v="2"/>
    <n v="66"/>
    <x v="0"/>
  </r>
  <r>
    <n v="978"/>
    <s v="Single"/>
    <x v="0"/>
    <n v="80000"/>
    <n v="4"/>
    <x v="0"/>
    <x v="4"/>
    <x v="4"/>
    <s v="Yes"/>
    <n v="2"/>
    <s v="Have Car"/>
    <x v="2"/>
    <x v="2"/>
    <n v="65"/>
    <x v="0"/>
  </r>
  <r>
    <n v="979"/>
    <s v="Married"/>
    <x v="1"/>
    <n v="80000"/>
    <n v="5"/>
    <x v="0"/>
    <x v="1"/>
    <x v="2"/>
    <s v="Yes"/>
    <n v="3"/>
    <s v="Have Car"/>
    <x v="2"/>
    <x v="2"/>
    <n v="45"/>
    <x v="0"/>
  </r>
  <r>
    <n v="980"/>
    <s v="Single"/>
    <x v="1"/>
    <n v="40000"/>
    <n v="0"/>
    <x v="1"/>
    <x v="2"/>
    <x v="0"/>
    <s v="Yes"/>
    <n v="1"/>
    <s v="Have Car"/>
    <x v="2"/>
    <x v="2"/>
    <n v="31"/>
    <x v="0"/>
  </r>
  <r>
    <n v="981"/>
    <s v="Single"/>
    <x v="0"/>
    <n v="80000"/>
    <n v="3"/>
    <x v="0"/>
    <x v="0"/>
    <x v="0"/>
    <s v="Yes"/>
    <n v="3"/>
    <s v="Have Car"/>
    <x v="4"/>
    <x v="2"/>
    <n v="40"/>
    <x v="1"/>
  </r>
  <r>
    <n v="982"/>
    <s v="Married"/>
    <x v="1"/>
    <n v="110000"/>
    <n v="5"/>
    <x v="0"/>
    <x v="1"/>
    <x v="2"/>
    <s v="Yes"/>
    <n v="4"/>
    <s v="Have Car"/>
    <x v="1"/>
    <x v="2"/>
    <n v="46"/>
    <x v="0"/>
  </r>
  <r>
    <n v="983"/>
    <s v="Single"/>
    <x v="1"/>
    <n v="40000"/>
    <n v="2"/>
    <x v="0"/>
    <x v="1"/>
    <x v="1"/>
    <s v="No"/>
    <n v="1"/>
    <s v="Have Car"/>
    <x v="3"/>
    <x v="2"/>
    <n v="47"/>
    <x v="1"/>
  </r>
  <r>
    <n v="984"/>
    <s v="Married"/>
    <x v="1"/>
    <n v="130000"/>
    <n v="2"/>
    <x v="0"/>
    <x v="4"/>
    <x v="4"/>
    <s v="Yes"/>
    <n v="2"/>
    <s v="Have Car"/>
    <x v="0"/>
    <x v="2"/>
    <n v="41"/>
    <x v="0"/>
  </r>
  <r>
    <n v="985"/>
    <s v="Married"/>
    <x v="1"/>
    <n v="60000"/>
    <n v="2"/>
    <x v="0"/>
    <x v="2"/>
    <x v="2"/>
    <s v="No"/>
    <n v="2"/>
    <s v="Have Car"/>
    <x v="3"/>
    <x v="2"/>
    <n v="48"/>
    <x v="1"/>
  </r>
  <r>
    <n v="986"/>
    <s v="Single"/>
    <x v="0"/>
    <n v="50000"/>
    <n v="4"/>
    <x v="0"/>
    <x v="0"/>
    <x v="0"/>
    <s v="Yes"/>
    <n v="2"/>
    <s v="Have Car"/>
    <x v="0"/>
    <x v="2"/>
    <n v="42"/>
    <x v="0"/>
  </r>
  <r>
    <n v="987"/>
    <s v="Single"/>
    <x v="1"/>
    <n v="40000"/>
    <n v="5"/>
    <x v="0"/>
    <x v="2"/>
    <x v="2"/>
    <s v="Yes"/>
    <n v="4"/>
    <s v="Have Car"/>
    <x v="4"/>
    <x v="2"/>
    <n v="60"/>
    <x v="1"/>
  </r>
  <r>
    <n v="988"/>
    <s v="Single"/>
    <x v="0"/>
    <n v="60000"/>
    <n v="3"/>
    <x v="0"/>
    <x v="4"/>
    <x v="4"/>
    <s v="Yes"/>
    <n v="2"/>
    <s v="Have Car"/>
    <x v="4"/>
    <x v="2"/>
    <n v="66"/>
    <x v="0"/>
  </r>
  <r>
    <n v="989"/>
    <s v="Married"/>
    <x v="1"/>
    <n v="70000"/>
    <n v="5"/>
    <x v="0"/>
    <x v="0"/>
    <x v="4"/>
    <s v="Yes"/>
    <n v="2"/>
    <s v="Have Car"/>
    <x v="4"/>
    <x v="2"/>
    <n v="63"/>
    <x v="0"/>
  </r>
  <r>
    <n v="990"/>
    <s v="Married"/>
    <x v="1"/>
    <n v="60000"/>
    <n v="4"/>
    <x v="0"/>
    <x v="0"/>
    <x v="0"/>
    <s v="No"/>
    <n v="3"/>
    <s v="Have Car"/>
    <x v="4"/>
    <x v="2"/>
    <n v="42"/>
    <x v="0"/>
  </r>
  <r>
    <n v="991"/>
    <s v="Single"/>
    <x v="0"/>
    <n v="30000"/>
    <n v="0"/>
    <x v="1"/>
    <x v="2"/>
    <x v="0"/>
    <s v="No"/>
    <n v="2"/>
    <s v="Have Car"/>
    <x v="2"/>
    <x v="2"/>
    <n v="26"/>
    <x v="0"/>
  </r>
  <r>
    <n v="992"/>
    <s v="Single"/>
    <x v="0"/>
    <n v="60000"/>
    <n v="1"/>
    <x v="0"/>
    <x v="4"/>
    <x v="2"/>
    <s v="Yes"/>
    <n v="0"/>
    <s v="NoCar"/>
    <x v="1"/>
    <x v="2"/>
    <n v="36"/>
    <x v="1"/>
  </r>
  <r>
    <n v="993"/>
    <s v="Married"/>
    <x v="1"/>
    <n v="90000"/>
    <n v="2"/>
    <x v="0"/>
    <x v="1"/>
    <x v="2"/>
    <s v="No"/>
    <n v="0"/>
    <s v="NoCar"/>
    <x v="2"/>
    <x v="2"/>
    <n v="49"/>
    <x v="1"/>
  </r>
  <r>
    <n v="994"/>
    <s v="Single"/>
    <x v="1"/>
    <n v="150000"/>
    <n v="1"/>
    <x v="0"/>
    <x v="1"/>
    <x v="2"/>
    <s v="No"/>
    <n v="3"/>
    <s v="Have Car"/>
    <x v="0"/>
    <x v="2"/>
    <n v="44"/>
    <x v="1"/>
  </r>
  <r>
    <n v="995"/>
    <s v="Married"/>
    <x v="1"/>
    <n v="80000"/>
    <n v="5"/>
    <x v="0"/>
    <x v="1"/>
    <x v="2"/>
    <s v="Yes"/>
    <n v="3"/>
    <s v="Have Car"/>
    <x v="3"/>
    <x v="2"/>
    <n v="46"/>
    <x v="0"/>
  </r>
  <r>
    <n v="996"/>
    <s v="Married"/>
    <x v="1"/>
    <n v="60000"/>
    <n v="2"/>
    <x v="0"/>
    <x v="2"/>
    <x v="2"/>
    <s v="Yes"/>
    <n v="2"/>
    <s v="Have Car"/>
    <x v="1"/>
    <x v="2"/>
    <n v="54"/>
    <x v="1"/>
  </r>
  <r>
    <n v="997"/>
    <s v="Single"/>
    <x v="1"/>
    <n v="70000"/>
    <n v="4"/>
    <x v="0"/>
    <x v="4"/>
    <x v="2"/>
    <s v="Yes"/>
    <n v="0"/>
    <s v="NoCar"/>
    <x v="1"/>
    <x v="2"/>
    <n v="35"/>
    <x v="1"/>
  </r>
  <r>
    <n v="998"/>
    <s v="Married"/>
    <x v="1"/>
    <n v="60000"/>
    <n v="2"/>
    <x v="0"/>
    <x v="0"/>
    <x v="0"/>
    <s v="Yes"/>
    <n v="0"/>
    <s v="NoCar"/>
    <x v="0"/>
    <x v="2"/>
    <n v="38"/>
    <x v="1"/>
  </r>
  <r>
    <n v="999"/>
    <s v="Single"/>
    <x v="1"/>
    <n v="100000"/>
    <n v="3"/>
    <x v="0"/>
    <x v="0"/>
    <x v="4"/>
    <s v="No"/>
    <n v="3"/>
    <s v="Have Car"/>
    <x v="3"/>
    <x v="2"/>
    <n v="38"/>
    <x v="0"/>
  </r>
  <r>
    <n v="1000"/>
    <s v="Single"/>
    <x v="1"/>
    <n v="60000"/>
    <n v="3"/>
    <x v="0"/>
    <x v="2"/>
    <x v="2"/>
    <s v="Yes"/>
    <n v="2"/>
    <s v="Have Car"/>
    <x v="4"/>
    <x v="2"/>
    <n v="53"/>
    <x v="1"/>
  </r>
  <r>
    <n v="1001"/>
    <s v="Married"/>
    <x v="0"/>
    <n v="10000"/>
    <n v="2"/>
    <x v="0"/>
    <x v="1"/>
    <x v="3"/>
    <s v="Yes"/>
    <n v="0"/>
    <s v="NoCar"/>
    <x v="3"/>
    <x v="0"/>
    <n v="50"/>
    <x v="0"/>
  </r>
  <r>
    <n v="1002"/>
    <s v="Married"/>
    <x v="1"/>
    <n v="120000"/>
    <n v="2"/>
    <x v="0"/>
    <x v="1"/>
    <x v="3"/>
    <s v="Yes"/>
    <n v="1"/>
    <s v="Have Car"/>
    <x v="0"/>
    <x v="0"/>
    <n v="40"/>
    <x v="1"/>
  </r>
  <r>
    <n v="1003"/>
    <s v="Married"/>
    <x v="0"/>
    <n v="30000"/>
    <n v="3"/>
    <x v="0"/>
    <x v="2"/>
    <x v="0"/>
    <s v="No"/>
    <n v="2"/>
    <s v="Have Car"/>
    <x v="3"/>
    <x v="1"/>
    <n v="54"/>
    <x v="1"/>
  </r>
  <r>
    <n v="1004"/>
    <s v="Single"/>
    <x v="0"/>
    <n v="90000"/>
    <n v="0"/>
    <x v="1"/>
    <x v="0"/>
    <x v="2"/>
    <s v="No"/>
    <n v="4"/>
    <s v="Have Car"/>
    <x v="4"/>
    <x v="1"/>
    <n v="36"/>
    <x v="0"/>
  </r>
  <r>
    <n v="1005"/>
    <s v="Married"/>
    <x v="1"/>
    <n v="170000"/>
    <n v="5"/>
    <x v="0"/>
    <x v="1"/>
    <x v="2"/>
    <s v="Yes"/>
    <n v="0"/>
    <s v="NoCar"/>
    <x v="0"/>
    <x v="0"/>
    <n v="55"/>
    <x v="0"/>
  </r>
  <r>
    <n v="1006"/>
    <s v="Married"/>
    <x v="1"/>
    <n v="40000"/>
    <n v="2"/>
    <x v="0"/>
    <x v="1"/>
    <x v="1"/>
    <s v="Yes"/>
    <n v="1"/>
    <s v="Have Car"/>
    <x v="3"/>
    <x v="0"/>
    <n v="35"/>
    <x v="1"/>
  </r>
  <r>
    <n v="1007"/>
    <s v="Single"/>
    <x v="1"/>
    <n v="60000"/>
    <n v="1"/>
    <x v="0"/>
    <x v="1"/>
    <x v="0"/>
    <s v="No"/>
    <n v="1"/>
    <s v="Have Car"/>
    <x v="0"/>
    <x v="1"/>
    <n v="45"/>
    <x v="1"/>
  </r>
  <r>
    <n v="1008"/>
    <s v="Single"/>
    <x v="0"/>
    <n v="10000"/>
    <n v="2"/>
    <x v="0"/>
    <x v="2"/>
    <x v="3"/>
    <s v="Yes"/>
    <n v="1"/>
    <s v="Have Car"/>
    <x v="0"/>
    <x v="0"/>
    <n v="38"/>
    <x v="1"/>
  </r>
  <r>
    <n v="1009"/>
    <s v="Single"/>
    <x v="1"/>
    <n v="30000"/>
    <n v="3"/>
    <x v="0"/>
    <x v="1"/>
    <x v="1"/>
    <s v="No"/>
    <n v="2"/>
    <s v="Have Car"/>
    <x v="3"/>
    <x v="1"/>
    <n v="59"/>
    <x v="1"/>
  </r>
  <r>
    <n v="1010"/>
    <s v="Married"/>
    <x v="0"/>
    <n v="30000"/>
    <n v="1"/>
    <x v="0"/>
    <x v="0"/>
    <x v="1"/>
    <s v="Yes"/>
    <n v="0"/>
    <s v="NoCar"/>
    <x v="0"/>
    <x v="0"/>
    <n v="47"/>
    <x v="0"/>
  </r>
  <r>
    <n v="1011"/>
    <s v="Single"/>
    <x v="1"/>
    <n v="40000"/>
    <n v="2"/>
    <x v="0"/>
    <x v="1"/>
    <x v="1"/>
    <s v="Yes"/>
    <n v="1"/>
    <s v="Have Car"/>
    <x v="3"/>
    <x v="0"/>
    <n v="35"/>
    <x v="1"/>
  </r>
  <r>
    <n v="1012"/>
    <s v="Single"/>
    <x v="1"/>
    <n v="20000"/>
    <n v="2"/>
    <x v="0"/>
    <x v="3"/>
    <x v="1"/>
    <s v="Yes"/>
    <n v="2"/>
    <s v="Have Car"/>
    <x v="2"/>
    <x v="1"/>
    <n v="55"/>
    <x v="1"/>
  </r>
  <r>
    <n v="1013"/>
    <s v="Married"/>
    <x v="0"/>
    <n v="40000"/>
    <n v="0"/>
    <x v="1"/>
    <x v="4"/>
    <x v="1"/>
    <s v="Yes"/>
    <n v="0"/>
    <s v="NoCar"/>
    <x v="0"/>
    <x v="0"/>
    <n v="36"/>
    <x v="1"/>
  </r>
  <r>
    <n v="1014"/>
    <s v="Single"/>
    <x v="0"/>
    <n v="80000"/>
    <n v="0"/>
    <x v="1"/>
    <x v="0"/>
    <x v="2"/>
    <s v="Yes"/>
    <n v="4"/>
    <s v="Have Car"/>
    <x v="4"/>
    <x v="1"/>
    <n v="35"/>
    <x v="0"/>
  </r>
  <r>
    <n v="1015"/>
    <s v="Single"/>
    <x v="1"/>
    <n v="40000"/>
    <n v="2"/>
    <x v="0"/>
    <x v="1"/>
    <x v="1"/>
    <s v="Yes"/>
    <n v="0"/>
    <s v="NoCar"/>
    <x v="3"/>
    <x v="0"/>
    <n v="35"/>
    <x v="1"/>
  </r>
  <r>
    <n v="1016"/>
    <s v="Married"/>
    <x v="0"/>
    <n v="80000"/>
    <n v="5"/>
    <x v="0"/>
    <x v="2"/>
    <x v="4"/>
    <s v="No"/>
    <n v="3"/>
    <s v="Have Car"/>
    <x v="2"/>
    <x v="0"/>
    <n v="56"/>
    <x v="0"/>
  </r>
  <r>
    <n v="1017"/>
    <s v="Single"/>
    <x v="1"/>
    <n v="40000"/>
    <n v="2"/>
    <x v="0"/>
    <x v="1"/>
    <x v="1"/>
    <s v="No"/>
    <n v="1"/>
    <s v="Have Car"/>
    <x v="0"/>
    <x v="0"/>
    <n v="34"/>
    <x v="0"/>
  </r>
  <r>
    <n v="1018"/>
    <s v="Single"/>
    <x v="1"/>
    <n v="30000"/>
    <n v="1"/>
    <x v="0"/>
    <x v="0"/>
    <x v="1"/>
    <s v="Yes"/>
    <n v="0"/>
    <s v="NoCar"/>
    <x v="0"/>
    <x v="0"/>
    <n v="63"/>
    <x v="0"/>
  </r>
  <r>
    <n v="1019"/>
    <s v="Single"/>
    <x v="1"/>
    <n v="30000"/>
    <n v="0"/>
    <x v="1"/>
    <x v="1"/>
    <x v="1"/>
    <s v="No"/>
    <n v="1"/>
    <s v="Have Car"/>
    <x v="0"/>
    <x v="0"/>
    <n v="29"/>
    <x v="1"/>
  </r>
  <r>
    <n v="1020"/>
    <s v="Single"/>
    <x v="0"/>
    <n v="100000"/>
    <n v="0"/>
    <x v="1"/>
    <x v="0"/>
    <x v="2"/>
    <s v="No"/>
    <n v="1"/>
    <s v="Have Car"/>
    <x v="2"/>
    <x v="1"/>
    <n v="40"/>
    <x v="0"/>
  </r>
  <r>
    <n v="1021"/>
    <s v="Married"/>
    <x v="1"/>
    <n v="70000"/>
    <n v="5"/>
    <x v="0"/>
    <x v="1"/>
    <x v="0"/>
    <s v="Yes"/>
    <n v="2"/>
    <s v="Have Car"/>
    <x v="2"/>
    <x v="1"/>
    <n v="44"/>
    <x v="0"/>
  </r>
  <r>
    <n v="1022"/>
    <s v="Single"/>
    <x v="0"/>
    <n v="20000"/>
    <n v="0"/>
    <x v="1"/>
    <x v="3"/>
    <x v="3"/>
    <s v="No"/>
    <n v="2"/>
    <s v="Have Car"/>
    <x v="0"/>
    <x v="0"/>
    <n v="32"/>
    <x v="1"/>
  </r>
  <r>
    <n v="1023"/>
    <s v="Married"/>
    <x v="0"/>
    <n v="20000"/>
    <n v="2"/>
    <x v="0"/>
    <x v="1"/>
    <x v="3"/>
    <s v="Yes"/>
    <n v="0"/>
    <s v="NoCar"/>
    <x v="0"/>
    <x v="0"/>
    <n v="63"/>
    <x v="0"/>
  </r>
  <r>
    <n v="1024"/>
    <s v="Married"/>
    <x v="1"/>
    <n v="10000"/>
    <n v="0"/>
    <x v="1"/>
    <x v="1"/>
    <x v="3"/>
    <s v="No"/>
    <n v="1"/>
    <s v="Have Car"/>
    <x v="0"/>
    <x v="1"/>
    <n v="26"/>
    <x v="1"/>
  </r>
  <r>
    <n v="1025"/>
    <s v="Single"/>
    <x v="0"/>
    <n v="20000"/>
    <n v="0"/>
    <x v="1"/>
    <x v="2"/>
    <x v="3"/>
    <s v="No"/>
    <n v="1"/>
    <s v="Have Car"/>
    <x v="2"/>
    <x v="0"/>
    <n v="31"/>
    <x v="0"/>
  </r>
  <r>
    <n v="1026"/>
    <s v="Single"/>
    <x v="1"/>
    <n v="80000"/>
    <n v="2"/>
    <x v="0"/>
    <x v="2"/>
    <x v="0"/>
    <s v="No"/>
    <n v="2"/>
    <s v="Have Car"/>
    <x v="3"/>
    <x v="1"/>
    <n v="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BCC360-B6B3-4721-91AA-550DC952A2CB}" name="PivotTable1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6" rowHeaderCaption="Purchased Bike">
  <location ref="A148:C155" firstHeaderRow="1" firstDataRow="2" firstDataCol="1"/>
  <pivotFields count="15">
    <pivotField showAll="0"/>
    <pivotField showAll="0"/>
    <pivotField showAll="0"/>
    <pivotField showAll="0"/>
    <pivotField showAll="0"/>
    <pivotField showAll="0">
      <items count="3">
        <item x="0"/>
        <item x="1"/>
        <item t="default"/>
      </items>
    </pivotField>
    <pivotField axis="axisRow" showAll="0">
      <items count="6">
        <item x="0"/>
        <item x="4"/>
        <item x="2"/>
        <item x="1"/>
        <item x="3"/>
        <item t="default"/>
      </items>
    </pivotField>
    <pivotField showAll="0"/>
    <pivotField showAll="0"/>
    <pivotField showAll="0"/>
    <pivotField showAll="0"/>
    <pivotField showAll="0">
      <items count="6">
        <item x="0"/>
        <item x="3"/>
        <item x="1"/>
        <item x="2"/>
        <item x="4"/>
        <item t="default"/>
      </items>
    </pivotField>
    <pivotField showAll="0"/>
    <pivotField showAll="0"/>
    <pivotField axis="axisCol" dataField="1" multipleItemSelectionAllowed="1" showAll="0">
      <items count="3">
        <item x="0"/>
        <item x="1"/>
        <item t="default"/>
      </items>
    </pivotField>
  </pivotFields>
  <rowFields count="1">
    <field x="6"/>
  </rowFields>
  <rowItems count="6">
    <i>
      <x/>
    </i>
    <i>
      <x v="1"/>
    </i>
    <i>
      <x v="2"/>
    </i>
    <i>
      <x v="3"/>
    </i>
    <i>
      <x v="4"/>
    </i>
    <i t="grand">
      <x/>
    </i>
  </rowItems>
  <colFields count="1">
    <field x="14"/>
  </colFields>
  <colItems count="2">
    <i>
      <x/>
    </i>
    <i>
      <x v="1"/>
    </i>
  </colItems>
  <dataFields count="1">
    <dataField name="Total" fld="14" subtotal="count" showDataAs="percentOfRow" baseField="6" baseItem="1" numFmtId="10"/>
  </dataFields>
  <formats count="1">
    <format dxfId="13">
      <pivotArea collapsedLevelsAreSubtotals="1" fieldPosition="0">
        <references count="2">
          <reference field="6" count="0"/>
          <reference field="14" count="0" selected="0"/>
        </references>
      </pivotArea>
    </format>
  </formats>
  <chartFormats count="4">
    <chartFormat chart="3" format="0" series="1">
      <pivotArea type="data" outline="0" fieldPosition="0">
        <references count="2">
          <reference field="4294967294" count="1" selected="0">
            <x v="0"/>
          </reference>
          <reference field="14" count="1" selected="0">
            <x v="0"/>
          </reference>
        </references>
      </pivotArea>
    </chartFormat>
    <chartFormat chart="3" format="1" series="1">
      <pivotArea type="data" outline="0" fieldPosition="0">
        <references count="2">
          <reference field="4294967294" count="1" selected="0">
            <x v="0"/>
          </reference>
          <reference field="14" count="1" selected="0">
            <x v="1"/>
          </reference>
        </references>
      </pivotArea>
    </chartFormat>
    <chartFormat chart="14" format="8" series="1">
      <pivotArea type="data" outline="0" fieldPosition="0">
        <references count="2">
          <reference field="4294967294" count="1" selected="0">
            <x v="0"/>
          </reference>
          <reference field="14" count="1" selected="0">
            <x v="0"/>
          </reference>
        </references>
      </pivotArea>
    </chartFormat>
    <chartFormat chart="14" format="9"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04EB4F-7E97-4A5A-BD21-21D3D29D3369}"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Purchased Bike">
  <location ref="A125:B131" firstHeaderRow="1" firstDataRow="1" firstDataCol="1" rowPageCount="1" colPageCount="1"/>
  <pivotFields count="15">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axis="axisRow" showAll="0">
      <items count="6">
        <item x="0"/>
        <item x="3"/>
        <item x="1"/>
        <item x="2"/>
        <item x="4"/>
        <item t="default"/>
      </items>
    </pivotField>
    <pivotField showAll="0"/>
    <pivotField showAll="0"/>
    <pivotField axis="axisPage" dataField="1" showAll="0">
      <items count="3">
        <item x="0"/>
        <item x="1"/>
        <item t="default"/>
      </items>
    </pivotField>
  </pivotFields>
  <rowFields count="1">
    <field x="11"/>
  </rowFields>
  <rowItems count="6">
    <i>
      <x/>
    </i>
    <i>
      <x v="1"/>
    </i>
    <i>
      <x v="2"/>
    </i>
    <i>
      <x v="3"/>
    </i>
    <i>
      <x v="4"/>
    </i>
    <i t="grand">
      <x/>
    </i>
  </rowItems>
  <colItems count="1">
    <i/>
  </colItems>
  <pageFields count="1">
    <pageField fld="14" item="1" hier="-1"/>
  </pageFields>
  <dataFields count="1">
    <dataField name="Number" fld="14" subtotal="count" showDataAs="percentOfCol" baseField="11" baseItem="0" numFmtId="10"/>
  </dataFields>
  <formats count="1">
    <format dxfId="15">
      <pivotArea collapsedLevelsAreSubtotals="1" fieldPosition="0">
        <references count="1">
          <reference field="11" count="0"/>
        </references>
      </pivotArea>
    </format>
  </formats>
  <chartFormats count="20">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1" count="1" selected="0">
            <x v="1"/>
          </reference>
        </references>
      </pivotArea>
    </chartFormat>
    <chartFormat chart="1" format="2" series="1">
      <pivotArea type="data" outline="0" fieldPosition="0">
        <references count="2">
          <reference field="4294967294" count="1" selected="0">
            <x v="0"/>
          </reference>
          <reference field="11" count="1" selected="0">
            <x v="2"/>
          </reference>
        </references>
      </pivotArea>
    </chartFormat>
    <chartFormat chart="1" format="3" series="1">
      <pivotArea type="data" outline="0" fieldPosition="0">
        <references count="2">
          <reference field="4294967294" count="1" selected="0">
            <x v="0"/>
          </reference>
          <reference field="11" count="1" selected="0">
            <x v="3"/>
          </reference>
        </references>
      </pivotArea>
    </chartFormat>
    <chartFormat chart="1" format="4" series="1">
      <pivotArea type="data" outline="0" fieldPosition="0">
        <references count="2">
          <reference field="4294967294" count="1" selected="0">
            <x v="0"/>
          </reference>
          <reference field="11" count="1" selected="0">
            <x v="4"/>
          </reference>
        </references>
      </pivotArea>
    </chartFormat>
    <chartFormat chart="1" format="5">
      <pivotArea type="data" outline="0" fieldPosition="0">
        <references count="2">
          <reference field="4294967294" count="1" selected="0">
            <x v="0"/>
          </reference>
          <reference field="11" count="1" selected="0">
            <x v="4"/>
          </reference>
        </references>
      </pivotArea>
    </chartFormat>
    <chartFormat chart="1" format="6">
      <pivotArea type="data" outline="0" fieldPosition="0">
        <references count="2">
          <reference field="4294967294" count="1" selected="0">
            <x v="0"/>
          </reference>
          <reference field="11" count="1" selected="0">
            <x v="3"/>
          </reference>
        </references>
      </pivotArea>
    </chartFormat>
    <chartFormat chart="1" format="7">
      <pivotArea type="data" outline="0" fieldPosition="0">
        <references count="2">
          <reference field="4294967294" count="1" selected="0">
            <x v="0"/>
          </reference>
          <reference field="11" count="1" selected="0">
            <x v="2"/>
          </reference>
        </references>
      </pivotArea>
    </chartFormat>
    <chartFormat chart="1" format="8">
      <pivotArea type="data" outline="0" fieldPosition="0">
        <references count="2">
          <reference field="4294967294" count="1" selected="0">
            <x v="0"/>
          </reference>
          <reference field="11" count="1" selected="0">
            <x v="1"/>
          </reference>
        </references>
      </pivotArea>
    </chartFormat>
    <chartFormat chart="1" format="9">
      <pivotArea type="data" outline="0" fieldPosition="0">
        <references count="2">
          <reference field="4294967294" count="1" selected="0">
            <x v="0"/>
          </reference>
          <reference field="11" count="1" selected="0">
            <x v="0"/>
          </reference>
        </references>
      </pivotArea>
    </chartFormat>
    <chartFormat chart="11" format="28" series="1">
      <pivotArea type="data" outline="0" fieldPosition="0">
        <references count="1">
          <reference field="4294967294" count="1" selected="0">
            <x v="0"/>
          </reference>
        </references>
      </pivotArea>
    </chartFormat>
    <chartFormat chart="11" format="29">
      <pivotArea type="data" outline="0" fieldPosition="0">
        <references count="2">
          <reference field="4294967294" count="1" selected="0">
            <x v="0"/>
          </reference>
          <reference field="11" count="1" selected="0">
            <x v="0"/>
          </reference>
        </references>
      </pivotArea>
    </chartFormat>
    <chartFormat chart="11" format="30">
      <pivotArea type="data" outline="0" fieldPosition="0">
        <references count="2">
          <reference field="4294967294" count="1" selected="0">
            <x v="0"/>
          </reference>
          <reference field="11" count="1" selected="0">
            <x v="1"/>
          </reference>
        </references>
      </pivotArea>
    </chartFormat>
    <chartFormat chart="11" format="31">
      <pivotArea type="data" outline="0" fieldPosition="0">
        <references count="2">
          <reference field="4294967294" count="1" selected="0">
            <x v="0"/>
          </reference>
          <reference field="11" count="1" selected="0">
            <x v="2"/>
          </reference>
        </references>
      </pivotArea>
    </chartFormat>
    <chartFormat chart="11" format="32">
      <pivotArea type="data" outline="0" fieldPosition="0">
        <references count="2">
          <reference field="4294967294" count="1" selected="0">
            <x v="0"/>
          </reference>
          <reference field="11" count="1" selected="0">
            <x v="3"/>
          </reference>
        </references>
      </pivotArea>
    </chartFormat>
    <chartFormat chart="11" format="33">
      <pivotArea type="data" outline="0" fieldPosition="0">
        <references count="2">
          <reference field="4294967294" count="1" selected="0">
            <x v="0"/>
          </reference>
          <reference field="11" count="1" selected="0">
            <x v="4"/>
          </reference>
        </references>
      </pivotArea>
    </chartFormat>
    <chartFormat chart="11" format="34" series="1">
      <pivotArea type="data" outline="0" fieldPosition="0">
        <references count="2">
          <reference field="4294967294" count="1" selected="0">
            <x v="0"/>
          </reference>
          <reference field="11" count="1" selected="0">
            <x v="1"/>
          </reference>
        </references>
      </pivotArea>
    </chartFormat>
    <chartFormat chart="11" format="35" series="1">
      <pivotArea type="data" outline="0" fieldPosition="0">
        <references count="2">
          <reference field="4294967294" count="1" selected="0">
            <x v="0"/>
          </reference>
          <reference field="11" count="1" selected="0">
            <x v="2"/>
          </reference>
        </references>
      </pivotArea>
    </chartFormat>
    <chartFormat chart="11" format="36" series="1">
      <pivotArea type="data" outline="0" fieldPosition="0">
        <references count="2">
          <reference field="4294967294" count="1" selected="0">
            <x v="0"/>
          </reference>
          <reference field="11" count="1" selected="0">
            <x v="3"/>
          </reference>
        </references>
      </pivotArea>
    </chartFormat>
    <chartFormat chart="11" format="37"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E32EF7-31D1-4715-9FFF-7C9C8752DBD3}"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Purchased Bike">
  <location ref="A109:D113" firstHeaderRow="1" firstDataRow="2" firstDataCol="1"/>
  <pivotFields count="15">
    <pivotField showAll="0"/>
    <pivotField showAll="0"/>
    <pivotField showAll="0"/>
    <pivotField showAll="0"/>
    <pivotField showAll="0"/>
    <pivotField axis="axisCol" showAll="0">
      <items count="3">
        <item x="0"/>
        <item x="1"/>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s>
  <rowFields count="1">
    <field x="14"/>
  </rowFields>
  <rowItems count="3">
    <i>
      <x/>
    </i>
    <i>
      <x v="1"/>
    </i>
    <i t="grand">
      <x/>
    </i>
  </rowItems>
  <colFields count="1">
    <field x="5"/>
  </colFields>
  <colItems count="3">
    <i>
      <x/>
    </i>
    <i>
      <x v="1"/>
    </i>
    <i t="grand">
      <x/>
    </i>
  </colItems>
  <dataFields count="1">
    <dataField name="Number" fld="14" subtotal="count" showDataAs="percentOfCol" baseField="5" baseItem="0" numFmtId="10"/>
  </dataFields>
  <formats count="3">
    <format dxfId="48">
      <pivotArea dataOnly="0" labelOnly="1" fieldPosition="0">
        <references count="1">
          <reference field="14" count="1">
            <x v="1"/>
          </reference>
        </references>
      </pivotArea>
    </format>
    <format dxfId="47">
      <pivotArea field="14" grandCol="1" collapsedLevelsAreSubtotals="1" axis="axisRow" fieldPosition="0">
        <references count="1">
          <reference field="14" count="1">
            <x v="0"/>
          </reference>
        </references>
      </pivotArea>
    </format>
    <format dxfId="17">
      <pivotArea collapsedLevelsAreSubtotals="1" fieldPosition="0">
        <references count="1">
          <reference field="14" count="0"/>
        </references>
      </pivotArea>
    </format>
  </formats>
  <chartFormats count="6">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3">
          <reference field="4294967294" count="1" selected="0">
            <x v="0"/>
          </reference>
          <reference field="5" count="1" selected="0">
            <x v="0"/>
          </reference>
          <reference field="14" count="1" selected="0">
            <x v="1"/>
          </reference>
        </references>
      </pivotArea>
    </chartFormat>
    <chartFormat chart="0" format="3">
      <pivotArea type="data" outline="0" fieldPosition="0">
        <references count="3">
          <reference field="4294967294" count="1" selected="0">
            <x v="0"/>
          </reference>
          <reference field="5" count="1" selected="0">
            <x v="0"/>
          </reference>
          <reference field="14" count="1" selected="0">
            <x v="0"/>
          </reference>
        </references>
      </pivotArea>
    </chartFormat>
    <chartFormat chart="11" format="10" series="1">
      <pivotArea type="data" outline="0" fieldPosition="0">
        <references count="2">
          <reference field="4294967294" count="1" selected="0">
            <x v="0"/>
          </reference>
          <reference field="5" count="1" selected="0">
            <x v="0"/>
          </reference>
        </references>
      </pivotArea>
    </chartFormat>
    <chartFormat chart="11" format="11"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229EDF-8D80-4A86-A065-FCEB7B8427BC}"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72:B76" firstHeaderRow="1" firstDataRow="1" firstDataCol="1" rowPageCount="1" colPageCount="1"/>
  <pivotFields count="15">
    <pivotField showAll="0"/>
    <pivotField showAll="0"/>
    <pivotField showAll="0"/>
    <pivotField showAll="0"/>
    <pivotField showAll="0"/>
    <pivotField showAll="0">
      <items count="3">
        <item x="0"/>
        <item x="1"/>
        <item t="default"/>
      </items>
    </pivotField>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axis="axisPage" dataField="1" multipleItemSelectionAllowed="1" showAll="0">
      <items count="3">
        <item h="1" x="0"/>
        <item x="1"/>
        <item t="default"/>
      </items>
    </pivotField>
  </pivotFields>
  <rowFields count="1">
    <field x="12"/>
  </rowFields>
  <rowItems count="4">
    <i>
      <x v="1"/>
    </i>
    <i>
      <x/>
    </i>
    <i>
      <x v="2"/>
    </i>
    <i t="grand">
      <x/>
    </i>
  </rowItems>
  <colItems count="1">
    <i/>
  </colItems>
  <pageFields count="1">
    <pageField fld="14" hier="-1"/>
  </pageFields>
  <dataFields count="1">
    <dataField name="Percentage" fld="14" subtotal="count" showDataAs="percentOfCol" baseField="0" baseItem="0" numFmtId="10"/>
  </dataFields>
  <formats count="1">
    <format dxfId="20">
      <pivotArea collapsedLevelsAreSubtotals="1" fieldPosition="0">
        <references count="1">
          <reference field="12" count="0"/>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2"/>
          </reference>
        </references>
      </pivotArea>
    </chartFormat>
    <chartFormat chart="0" format="2">
      <pivotArea type="data" outline="0" fieldPosition="0">
        <references count="2">
          <reference field="4294967294" count="1" selected="0">
            <x v="0"/>
          </reference>
          <reference field="12" count="1" selected="0">
            <x v="0"/>
          </reference>
        </references>
      </pivotArea>
    </chartFormat>
    <chartFormat chart="0" format="3">
      <pivotArea type="data" outline="0" fieldPosition="0">
        <references count="2">
          <reference field="4294967294" count="1" selected="0">
            <x v="0"/>
          </reference>
          <reference field="12" count="1" selected="0">
            <x v="1"/>
          </reference>
        </references>
      </pivotArea>
    </chartFormat>
    <chartFormat chart="0" format="4" series="1">
      <pivotArea type="data" outline="0" fieldPosition="0">
        <references count="2">
          <reference field="4294967294" count="1" selected="0">
            <x v="0"/>
          </reference>
          <reference field="12" count="1" selected="0">
            <x v="0"/>
          </reference>
        </references>
      </pivotArea>
    </chartFormat>
    <chartFormat chart="0" format="5" series="1">
      <pivotArea type="data" outline="0" fieldPosition="0">
        <references count="2">
          <reference field="4294967294" count="1" selected="0">
            <x v="0"/>
          </reference>
          <reference field="12" count="1" selected="0">
            <x v="2"/>
          </reference>
        </references>
      </pivotArea>
    </chartFormat>
    <chartFormat chart="14" format="18" series="1">
      <pivotArea type="data" outline="0" fieldPosition="0">
        <references count="1">
          <reference field="4294967294" count="1" selected="0">
            <x v="0"/>
          </reference>
        </references>
      </pivotArea>
    </chartFormat>
    <chartFormat chart="14" format="19">
      <pivotArea type="data" outline="0" fieldPosition="0">
        <references count="2">
          <reference field="4294967294" count="1" selected="0">
            <x v="0"/>
          </reference>
          <reference field="12" count="1" selected="0">
            <x v="1"/>
          </reference>
        </references>
      </pivotArea>
    </chartFormat>
    <chartFormat chart="14" format="20">
      <pivotArea type="data" outline="0" fieldPosition="0">
        <references count="2">
          <reference field="4294967294" count="1" selected="0">
            <x v="0"/>
          </reference>
          <reference field="12" count="1" selected="0">
            <x v="0"/>
          </reference>
        </references>
      </pivotArea>
    </chartFormat>
    <chartFormat chart="14" format="2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8C0277-71E3-474B-8CB5-B874A6EBF9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
  <location ref="A1:C4" firstHeaderRow="0" firstDataRow="1" firstDataCol="1"/>
  <pivotFields count="15">
    <pivotField showAll="0"/>
    <pivotField showAll="0"/>
    <pivotField axis="axisRow" showAll="0">
      <items count="3">
        <item x="0"/>
        <item x="1"/>
        <item t="default"/>
      </items>
    </pivotField>
    <pivotField showAll="0"/>
    <pivotField showAll="0"/>
    <pivotField showAll="0">
      <items count="3">
        <item x="0"/>
        <item x="1"/>
        <item t="default"/>
      </items>
    </pivotField>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pivotField showAll="0">
      <items count="4">
        <item x="0"/>
        <item x="2"/>
        <item x="1"/>
        <item t="default"/>
      </items>
    </pivotField>
    <pivotField showAll="0"/>
    <pivotField dataField="1" showAll="0">
      <items count="3">
        <item x="0"/>
        <item x="1"/>
        <item t="default"/>
      </items>
    </pivotField>
  </pivotFields>
  <rowFields count="1">
    <field x="2"/>
  </rowFields>
  <rowItems count="3">
    <i>
      <x/>
    </i>
    <i>
      <x v="1"/>
    </i>
    <i t="grand">
      <x/>
    </i>
  </rowItems>
  <colFields count="1">
    <field x="-2"/>
  </colFields>
  <colItems count="2">
    <i>
      <x/>
    </i>
    <i i="1">
      <x v="1"/>
    </i>
  </colItems>
  <dataFields count="2">
    <dataField name="Percentage" fld="14" subtotal="count" showDataAs="percentOfTotal" baseField="0" baseItem="0" numFmtId="10"/>
    <dataField name="Number Of Purhased" fld="14" subtotal="count" baseField="2" baseItem="0" numFmtId="164"/>
  </dataFields>
  <formats count="3">
    <format dxfId="49">
      <pivotArea outline="0" collapsedLevelsAreSubtotals="1" fieldPosition="0">
        <references count="1">
          <reference field="4294967294" count="1" selected="0">
            <x v="1"/>
          </reference>
        </references>
      </pivotArea>
    </format>
    <format dxfId="28">
      <pivotArea collapsedLevelsAreSubtotals="1" fieldPosition="0">
        <references count="2">
          <reference field="4294967294" count="1" selected="0">
            <x v="0"/>
          </reference>
          <reference field="2" count="1">
            <x v="0"/>
          </reference>
        </references>
      </pivotArea>
    </format>
    <format dxfId="27">
      <pivotArea collapsedLevelsAreSubtotals="1" fieldPosition="0">
        <references count="2">
          <reference field="4294967294" count="1" selected="0">
            <x v="0"/>
          </reference>
          <reference field="2" count="1">
            <x v="1"/>
          </reference>
        </references>
      </pivotArea>
    </format>
  </formats>
  <chartFormats count="12">
    <chartFormat chart="1" format="0" series="1">
      <pivotArea type="data" outline="0" fieldPosition="0">
        <references count="1">
          <reference field="4294967294" count="1" selected="0">
            <x v="1"/>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1"/>
          </reference>
          <reference field="2" count="1" selected="0">
            <x v="0"/>
          </reference>
        </references>
      </pivotArea>
    </chartFormat>
    <chartFormat chart="1" format="5">
      <pivotArea type="data" outline="0" fieldPosition="0">
        <references count="2">
          <reference field="4294967294" count="1" selected="0">
            <x v="1"/>
          </reference>
          <reference field="2" count="1" selected="0">
            <x v="1"/>
          </reference>
        </references>
      </pivotArea>
    </chartFormat>
    <chartFormat chart="33" format="24" series="1">
      <pivotArea type="data" outline="0" fieldPosition="0">
        <references count="1">
          <reference field="4294967294" count="1" selected="0">
            <x v="0"/>
          </reference>
        </references>
      </pivotArea>
    </chartFormat>
    <chartFormat chart="33" format="25">
      <pivotArea type="data" outline="0" fieldPosition="0">
        <references count="2">
          <reference field="4294967294" count="1" selected="0">
            <x v="0"/>
          </reference>
          <reference field="2" count="1" selected="0">
            <x v="0"/>
          </reference>
        </references>
      </pivotArea>
    </chartFormat>
    <chartFormat chart="33" format="26">
      <pivotArea type="data" outline="0" fieldPosition="0">
        <references count="2">
          <reference field="4294967294" count="1" selected="0">
            <x v="0"/>
          </reference>
          <reference field="2" count="1" selected="0">
            <x v="1"/>
          </reference>
        </references>
      </pivotArea>
    </chartFormat>
    <chartFormat chart="33" format="27" series="1">
      <pivotArea type="data" outline="0" fieldPosition="0">
        <references count="1">
          <reference field="4294967294" count="1" selected="0">
            <x v="1"/>
          </reference>
        </references>
      </pivotArea>
    </chartFormat>
    <chartFormat chart="33" format="28">
      <pivotArea type="data" outline="0" fieldPosition="0">
        <references count="2">
          <reference field="4294967294" count="1" selected="0">
            <x v="1"/>
          </reference>
          <reference field="2" count="1" selected="0">
            <x v="0"/>
          </reference>
        </references>
      </pivotArea>
    </chartFormat>
    <chartFormat chart="33" format="29">
      <pivotArea type="data" outline="0" fieldPosition="0">
        <references count="2">
          <reference field="4294967294"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A5B6F97-30D0-4C4E-BEC9-9CC060BC043D}" name="PivotTable16"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9" rowHeaderCaption="Purchased Bike">
  <location ref="A165:C172" firstHeaderRow="1" firstDataRow="2" firstDataCol="1"/>
  <pivotFields count="15">
    <pivotField showAll="0"/>
    <pivotField showAll="0"/>
    <pivotField showAll="0"/>
    <pivotField showAll="0"/>
    <pivotField showAll="0"/>
    <pivotField showAll="0">
      <items count="3">
        <item x="0"/>
        <item x="1"/>
        <item t="default"/>
      </items>
    </pivotField>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items count="6">
        <item x="0"/>
        <item x="3"/>
        <item x="1"/>
        <item x="2"/>
        <item x="4"/>
        <item t="default"/>
      </items>
    </pivotField>
    <pivotField showAll="0"/>
    <pivotField showAll="0"/>
    <pivotField axis="axisCol" dataField="1" multipleItemSelectionAllowed="1" showAll="0">
      <items count="3">
        <item x="0"/>
        <item x="1"/>
        <item t="default"/>
      </items>
    </pivotField>
  </pivotFields>
  <rowFields count="1">
    <field x="7"/>
  </rowFields>
  <rowItems count="6">
    <i>
      <x/>
    </i>
    <i>
      <x v="1"/>
    </i>
    <i>
      <x v="2"/>
    </i>
    <i>
      <x v="3"/>
    </i>
    <i>
      <x v="4"/>
    </i>
    <i t="grand">
      <x/>
    </i>
  </rowItems>
  <colFields count="1">
    <field x="14"/>
  </colFields>
  <colItems count="2">
    <i>
      <x/>
    </i>
    <i>
      <x v="1"/>
    </i>
  </colItems>
  <dataFields count="1">
    <dataField name="Total" fld="14" subtotal="count" showDataAs="percentOfRow" baseField="6" baseItem="1" numFmtId="10"/>
  </dataFields>
  <formats count="1">
    <format dxfId="11">
      <pivotArea collapsedLevelsAreSubtotals="1" fieldPosition="0">
        <references count="2">
          <reference field="7" count="0"/>
          <reference field="14" count="0" selected="0"/>
        </references>
      </pivotArea>
    </format>
  </formats>
  <chartFormats count="6">
    <chartFormat chart="3" format="0" series="1">
      <pivotArea type="data" outline="0" fieldPosition="0">
        <references count="2">
          <reference field="4294967294" count="1" selected="0">
            <x v="0"/>
          </reference>
          <reference field="14" count="1" selected="0">
            <x v="0"/>
          </reference>
        </references>
      </pivotArea>
    </chartFormat>
    <chartFormat chart="3" format="1" series="1">
      <pivotArea type="data" outline="0" fieldPosition="0">
        <references count="2">
          <reference field="4294967294" count="1" selected="0">
            <x v="0"/>
          </reference>
          <reference field="14" count="1" selected="0">
            <x v="1"/>
          </reference>
        </references>
      </pivotArea>
    </chartFormat>
    <chartFormat chart="4" format="0" series="1">
      <pivotArea type="data" outline="0" fieldPosition="0">
        <references count="2">
          <reference field="4294967294" count="1" selected="0">
            <x v="0"/>
          </reference>
          <reference field="14" count="1" selected="0">
            <x v="0"/>
          </reference>
        </references>
      </pivotArea>
    </chartFormat>
    <chartFormat chart="4" format="1" series="1">
      <pivotArea type="data" outline="0" fieldPosition="0">
        <references count="2">
          <reference field="4294967294" count="1" selected="0">
            <x v="0"/>
          </reference>
          <reference field="14" count="1" selected="0">
            <x v="1"/>
          </reference>
        </references>
      </pivotArea>
    </chartFormat>
    <chartFormat chart="18" format="8" series="1">
      <pivotArea type="data" outline="0" fieldPosition="0">
        <references count="2">
          <reference field="4294967294" count="1" selected="0">
            <x v="0"/>
          </reference>
          <reference field="14" count="1" selected="0">
            <x v="0"/>
          </reference>
        </references>
      </pivotArea>
    </chartFormat>
    <chartFormat chart="18" format="9"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DAE0D7C0-0537-4659-A64B-F1D125CBBA4A}" sourceName="Purchased Bike">
  <pivotTables>
    <pivotTable tabId="2" name="PivotTable1"/>
  </pivotTables>
  <data>
    <tabular pivotCacheId="1001904160">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5B663AC-4BF1-4496-AD4E-7853BF767A86}" sourceName="Region">
  <pivotTables>
    <pivotTable tabId="2" name="PivotTable1"/>
    <pivotTable tabId="2" name="PivotTable12"/>
  </pivotTables>
  <data>
    <tabular pivotCacheId="1001904160">
      <items count="3">
        <i x="0"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Children" xr10:uid="{91512BFF-A19A-45E9-903B-702EB9BF0B92}" sourceName="Category Children">
  <pivotTables>
    <pivotTable tabId="2" name="PivotTable13"/>
    <pivotTable tabId="2" name="PivotTable1"/>
  </pivotTables>
  <data>
    <tabular pivotCacheId="1001904160">
      <items count="2">
        <i x="0"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8C044C41-D5B2-405B-8C90-76FD3C28DBF6}" sourceName="Education">
  <pivotTables>
    <pivotTable tabId="2" name="PivotTable15"/>
    <pivotTable tabId="2" name="PivotTable1"/>
  </pivotTables>
  <data>
    <tabular pivotCacheId="1001904160">
      <items count="5">
        <i x="0" s="1"/>
        <i x="4" s="1"/>
        <i x="2" s="1"/>
        <i x="1" s="1"/>
        <i x="3"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14BFC307-2F39-48E4-876D-7C2A62783902}" sourceName="Occupation">
  <pivotTables>
    <pivotTable tabId="2" name="PivotTable16"/>
    <pivotTable tabId="2" name="PivotTable1"/>
  </pivotTables>
  <data>
    <tabular pivotCacheId="1001904160">
      <items count="5">
        <i x="1" s="1"/>
        <i x="4" s="1"/>
        <i x="3" s="1"/>
        <i x="2"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d Bike 1" xr10:uid="{03F1B75E-F640-4872-B2E0-05EB61EEC48E}" cache="Slicer_Purchased_Bike" caption="Purchased Bike" columnCount="2" style="SlicerStyleLight2" rowHeight="257175"/>
  <slicer name="Region 1" xr10:uid="{E258542F-978C-400F-BE3A-981D3D918FAA}" cache="Slicer_Region" caption="Region" style="SlicerStyleLight2" rowHeight="257175"/>
  <slicer name="Category Children 1" xr10:uid="{641979C7-7994-4580-8AF3-FD9B8391F21C}" cache="Slicer_Category_Children" caption="Category Children" columnCount="2" style="SlicerStyleLight2" rowHeight="257175"/>
  <slicer name="Education 1" xr10:uid="{E0280090-77BD-4FD7-9E9D-B94550640667}" cache="Slicer_Education" caption="Education" startItem="2" style="SlicerStyleLight2" rowHeight="257175"/>
  <slicer name="Occupation 1" xr10:uid="{FC4EFD61-6ABF-4258-AC87-9F2E52C4C0D6}" cache="Slicer_Occupation" caption="Occupation" style="SlicerStyleLight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2077B9-DF25-41C1-BE08-3311FCF9CB3A}" name="Table3" displayName="Table3" ref="S1:X3" totalsRowShown="0">
  <autoFilter ref="S1:X3" xr:uid="{CA2077B9-DF25-41C1-BE08-3311FCF9CB3A}"/>
  <tableColumns count="6">
    <tableColumn id="1" xr3:uid="{96964E04-1701-4292-A020-1113627031EB}" name="Purchase Bike"/>
    <tableColumn id="2" xr3:uid="{1362D207-0D65-4528-AD0F-CF42FADC7E9F}" name="Min Income">
      <calculatedColumnFormula>_xlfn.MINIFS($D$2:$D$1027,$O$2:$O$1027,"="&amp;$S2)</calculatedColumnFormula>
    </tableColumn>
    <tableColumn id="3" xr3:uid="{5D87B888-DE2F-43B5-9F7B-9ED40F53D532}" name="Max Income">
      <calculatedColumnFormula>_xlfn.MAXIFS(D1:D1026,O1:O1026,$S2)</calculatedColumnFormula>
    </tableColumn>
    <tableColumn id="4" xr3:uid="{F3CE5002-4442-4863-A282-7DC972225F78}" name="Avg Income">
      <calculatedColumnFormula>AVERAGEIF($O$2:$O$1028,$S2,$D$2:$D$1028)</calculatedColumnFormula>
    </tableColumn>
    <tableColumn id="5" xr3:uid="{EA0993BC-2DA4-4E46-9B96-2C8A90496165}" name="Standard Deviation (Std Dev)" dataDxfId="73">
      <calculatedColumnFormula array="1">_xlfn.STDEV.S(IF($O$2:$O$1027=$S2,$D$2:$D$1027,FALSE))</calculatedColumnFormula>
    </tableColumn>
    <tableColumn id="6" xr3:uid="{8FAC8DA7-04C2-400A-B772-62D50821AE23}" name="Median Income">
      <calculatedColumnFormula array="1">MEDIAN(IF($O$2:$O$1027=$S2,$D1:$D1026,FALSE))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55D3F0-D76B-4C60-ACCD-6059C1AECD6E}" name="Table1" displayName="Table1" ref="S21:V23" totalsRowShown="0" headerRowDxfId="72" headerRowBorderDxfId="71" tableBorderDxfId="70" totalsRowBorderDxfId="69">
  <autoFilter ref="S21:V23" xr:uid="{EC55D3F0-D76B-4C60-ACCD-6059C1AECD6E}"/>
  <tableColumns count="4">
    <tableColumn id="1" xr3:uid="{32191558-E9EE-4224-AB1D-D536D5A76080}" name="Marital Status"/>
    <tableColumn id="2" xr3:uid="{6905EDCD-C1CA-4326-844D-6AACAECDFC08}" name="Min Age" dataDxfId="68">
      <calculatedColumnFormula>_xlfn.MINIFS($N$2:$N$1027,$B$2:$B$1027,"="&amp;$S22)</calculatedColumnFormula>
    </tableColumn>
    <tableColumn id="3" xr3:uid="{3CD7C25D-073E-428C-BC63-6E0C1D571724}" name="Max Age" dataDxfId="67">
      <calculatedColumnFormula>_xlfn.MAXIFS($N$2:$N$1027,$B$2:$B$1027,"="&amp;$S22)</calculatedColumnFormula>
    </tableColumn>
    <tableColumn id="4" xr3:uid="{240A246B-7B9C-4AEF-B299-A0FA2CF23370}" name="Average Age" dataDxfId="66">
      <calculatedColumnFormula>AVERAGEIF($B$2:$B$1027,"="&amp;$S22,$N$2:$N$1028)</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3A6CB9-DA7A-4EF4-BF61-9BA81CD2BFCE}" name="Table2" displayName="Table2" ref="S42:V44" totalsRowShown="0" headerRowDxfId="65" headerRowBorderDxfId="64" tableBorderDxfId="63" totalsRowBorderDxfId="62">
  <autoFilter ref="S42:V44" xr:uid="{3F3A6CB9-DA7A-4EF4-BF61-9BA81CD2BFCE}"/>
  <tableColumns count="4">
    <tableColumn id="1" xr3:uid="{71313F78-93E6-4D48-8CAF-C0B44D3C7CBC}" name="Gender" dataDxfId="61"/>
    <tableColumn id="2" xr3:uid="{B737A73D-8239-4BB8-B046-5DA8327D8DB5}" name="Total Customer" dataDxfId="60">
      <calculatedColumnFormula>COUNTIF($C$2:$C$1027,$S43)</calculatedColumnFormula>
    </tableColumn>
    <tableColumn id="3" xr3:uid="{7A9E3E57-2F8C-43D1-BFD0-7EFD82A6C9C1}" name="Num Purchased Bike" dataDxfId="59">
      <calculatedColumnFormula>COUNTIFS($O$2:$O$1027,"=Yes",$C$2:$C$1027,S43)</calculatedColumnFormula>
    </tableColumn>
    <tableColumn id="4" xr3:uid="{EFFE1477-D3BA-4DB9-ADEF-E97A231BD853}" name="Percentage" dataDxfId="58">
      <calculatedColumnFormula>($U43/$T43) * 100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9EE8D4-ADBD-41F3-B456-DCA436A2AD1A}" name="Table4" displayName="Table4" ref="S62:V64" totalsRowShown="0" headerRowDxfId="57" headerRowBorderDxfId="56" tableBorderDxfId="55" totalsRowBorderDxfId="54">
  <autoFilter ref="S62:V64" xr:uid="{F49EE8D4-ADBD-41F3-B456-DCA436A2AD1A}"/>
  <tableColumns count="4">
    <tableColumn id="1" xr3:uid="{DFF0B7ED-976E-4CCD-92AF-F1D523A9D601}" name="Marital Status" dataDxfId="53"/>
    <tableColumn id="2" xr3:uid="{5B8B1E36-A194-4096-88D5-8D9EC4A93ED6}" name="Total Customer" dataDxfId="52">
      <calculatedColumnFormula>COUNTIF($B$2:$B$1027,$S63)</calculatedColumnFormula>
    </tableColumn>
    <tableColumn id="3" xr3:uid="{0B3DD29B-F254-412C-9888-0C4FF613EFA8}" name="Num Purchased Bike" dataDxfId="51">
      <calculatedColumnFormula>COUNTIFS($O$2:$O$1027,"=Yes",$B$2:$B$1027,$S63)</calculatedColumnFormula>
    </tableColumn>
    <tableColumn id="4" xr3:uid="{35FAA824-0C09-48AF-942A-1732CDA9DB70}" name="Percentage" dataDxfId="50">
      <calculatedColumnFormula>($U63/$T63) * 100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CB109A-853F-4EDD-8968-248EB67A7618}" name="Table5" displayName="Table5" ref="A20:D22" totalsRowShown="0" headerRowDxfId="46" headerRowBorderDxfId="45" tableBorderDxfId="44" totalsRowBorderDxfId="43">
  <autoFilter ref="A20:D22" xr:uid="{57CB109A-853F-4EDD-8968-248EB67A7618}"/>
  <tableColumns count="4">
    <tableColumn id="1" xr3:uid="{352074AD-0FAE-4E96-8AB1-B97D272E1868}" name="Marital Status" dataDxfId="42"/>
    <tableColumn id="2" xr3:uid="{C01F2BDE-AB67-4062-AD5B-C16441A363DC}" name="Min Age" dataDxfId="41"/>
    <tableColumn id="3" xr3:uid="{1EACA8A0-7196-4218-B047-B17703AF1473}" name="Max Age" dataDxfId="26"/>
    <tableColumn id="4" xr3:uid="{1053A4AB-57C2-44A4-AE39-6A5D2463D3F2}" name="Average Age" dataDxfId="2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76EF2D-D4BC-4776-BC74-D77B1A8B2B29}" name="Table6" displayName="Table6" ref="A41:D43" totalsRowShown="0" headerRowDxfId="40" headerRowBorderDxfId="39" tableBorderDxfId="38" totalsRowBorderDxfId="37">
  <tableColumns count="4">
    <tableColumn id="1" xr3:uid="{B8E52410-085C-4194-AC6D-1BC772DCDA1C}" name="Gender" dataDxfId="36"/>
    <tableColumn id="2" xr3:uid="{58FFF88D-0330-4101-8330-AF8C257AB70B}" name="Total Customer" dataDxfId="35"/>
    <tableColumn id="3" xr3:uid="{F261144A-D96B-4DDF-BE27-C866DB911507}" name="Num Purchased Bike" dataDxfId="24"/>
    <tableColumn id="4" xr3:uid="{FE9AB962-B39D-4FF3-9FD1-A08BD779606E}" name="Percentage" dataDxfId="2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5786A80-119A-4A51-BDC9-EA5880A654B9}" name="Table7" displayName="Table7" ref="A55:D57" totalsRowShown="0" headerRowDxfId="34" headerRowBorderDxfId="33" tableBorderDxfId="32" totalsRowBorderDxfId="31">
  <autoFilter ref="A55:D57" xr:uid="{85786A80-119A-4A51-BDC9-EA5880A654B9}"/>
  <tableColumns count="4">
    <tableColumn id="1" xr3:uid="{23668721-E58A-4987-9049-4C8F8AC341ED}" name="Marital Status" dataDxfId="30"/>
    <tableColumn id="2" xr3:uid="{CAEC916A-229F-4539-8EED-4B15866473BF}" name="Total Customer" dataDxfId="29"/>
    <tableColumn id="3" xr3:uid="{A7C5B4A3-9002-405D-84BA-5221570E79A2}" name="Num Purchased Bike" dataDxfId="22"/>
    <tableColumn id="4" xr3:uid="{1D277057-453F-402D-BFF4-5E37B09A018B}" name="Percentage" dataDxf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table" Target="../tables/table7.xml"/><Relationship Id="rId4" Type="http://schemas.openxmlformats.org/officeDocument/2006/relationships/pivotTable" Target="../pivotTables/pivotTable4.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0AFA3-9E2E-4814-BB83-6C785F79C36B}">
  <sheetPr codeName="Sheet1"/>
  <dimension ref="A1:X1027"/>
  <sheetViews>
    <sheetView topLeftCell="G1" zoomScale="85" zoomScaleNormal="85" workbookViewId="0">
      <selection activeCell="X25" sqref="X25"/>
    </sheetView>
  </sheetViews>
  <sheetFormatPr defaultRowHeight="15" x14ac:dyDescent="0.25"/>
  <cols>
    <col min="1" max="1" width="5.5703125" bestFit="1" customWidth="1"/>
    <col min="2" max="2" width="13.28515625" bestFit="1" customWidth="1"/>
    <col min="3" max="3" width="7.42578125" bestFit="1" customWidth="1"/>
    <col min="4" max="4" width="7.85546875" bestFit="1" customWidth="1"/>
    <col min="5" max="5" width="8.42578125" bestFit="1" customWidth="1"/>
    <col min="6" max="6" width="16.5703125" style="2" bestFit="1" customWidth="1"/>
    <col min="7" max="7" width="18" style="2" bestFit="1" customWidth="1"/>
    <col min="8" max="8" width="14.140625" style="2" bestFit="1" customWidth="1"/>
    <col min="9" max="9" width="12.28515625" style="2" bestFit="1" customWidth="1"/>
    <col min="10" max="10" width="5.140625" style="2" bestFit="1" customWidth="1"/>
    <col min="11" max="11" width="13.140625" style="2" bestFit="1" customWidth="1"/>
    <col min="12" max="12" width="18.140625" bestFit="1" customWidth="1"/>
    <col min="13" max="13" width="13.85546875" bestFit="1" customWidth="1"/>
    <col min="14" max="14" width="4.28515625" bestFit="1" customWidth="1"/>
    <col min="15" max="15" width="14.7109375" bestFit="1" customWidth="1"/>
    <col min="18" max="18" width="14.7109375" bestFit="1" customWidth="1"/>
    <col min="19" max="19" width="15" customWidth="1"/>
    <col min="20" max="20" width="16.28515625" customWidth="1"/>
    <col min="21" max="21" width="20.7109375" customWidth="1"/>
    <col min="22" max="22" width="13.42578125" customWidth="1"/>
    <col min="23" max="23" width="27.5703125" customWidth="1"/>
    <col min="24" max="24" width="16.140625" customWidth="1"/>
  </cols>
  <sheetData>
    <row r="1" spans="1:24" x14ac:dyDescent="0.25">
      <c r="A1" t="s">
        <v>0</v>
      </c>
      <c r="B1" t="s">
        <v>1</v>
      </c>
      <c r="C1" t="s">
        <v>2</v>
      </c>
      <c r="D1" t="s">
        <v>3</v>
      </c>
      <c r="E1" t="s">
        <v>4</v>
      </c>
      <c r="F1" s="2" t="s">
        <v>47</v>
      </c>
      <c r="G1" t="s">
        <v>5</v>
      </c>
      <c r="H1" t="s">
        <v>6</v>
      </c>
      <c r="I1" t="s">
        <v>7</v>
      </c>
      <c r="J1" t="s">
        <v>8</v>
      </c>
      <c r="K1" s="2" t="s">
        <v>48</v>
      </c>
      <c r="L1" t="s">
        <v>9</v>
      </c>
      <c r="M1" t="s">
        <v>10</v>
      </c>
      <c r="N1" t="s">
        <v>11</v>
      </c>
      <c r="O1" t="s">
        <v>12</v>
      </c>
      <c r="S1" t="s">
        <v>37</v>
      </c>
      <c r="T1" t="s">
        <v>38</v>
      </c>
      <c r="U1" t="s">
        <v>39</v>
      </c>
      <c r="V1" t="s">
        <v>40</v>
      </c>
      <c r="W1" t="s">
        <v>41</v>
      </c>
      <c r="X1" t="s">
        <v>42</v>
      </c>
    </row>
    <row r="2" spans="1:24" x14ac:dyDescent="0.25">
      <c r="A2">
        <v>1</v>
      </c>
      <c r="B2" t="s">
        <v>13</v>
      </c>
      <c r="C2" t="s">
        <v>14</v>
      </c>
      <c r="D2">
        <v>40000</v>
      </c>
      <c r="E2">
        <v>1</v>
      </c>
      <c r="F2" s="2" t="s">
        <v>45</v>
      </c>
      <c r="G2" t="s">
        <v>15</v>
      </c>
      <c r="H2" t="s">
        <v>16</v>
      </c>
      <c r="I2" t="s">
        <v>17</v>
      </c>
      <c r="J2">
        <v>0</v>
      </c>
      <c r="K2" t="s">
        <v>43</v>
      </c>
      <c r="L2" t="s">
        <v>18</v>
      </c>
      <c r="M2" t="s">
        <v>19</v>
      </c>
      <c r="N2">
        <v>42</v>
      </c>
      <c r="O2" t="s">
        <v>20</v>
      </c>
      <c r="S2" t="s">
        <v>17</v>
      </c>
      <c r="T2">
        <f>_xlfn.MINIFS($D$2:$D$1027,$O$2:$O$1027,"="&amp;$S2)</f>
        <v>10000</v>
      </c>
      <c r="U2">
        <f>_xlfn.MAXIFS(D2:D1027,O2:O1027,$S2)</f>
        <v>170000</v>
      </c>
      <c r="V2">
        <f>AVERAGEIF($O$2:$O$1027,$S2,$D$2:$D$1027)</f>
        <v>57474.747474747477</v>
      </c>
      <c r="W2" s="1" cm="1">
        <f t="array" ref="W2">_xlfn.STDEV.S(IF($O$2:$O$1027=$S2,$D$2:$D$1027,FALSE))</f>
        <v>31045.983733139608</v>
      </c>
      <c r="X2" cm="1">
        <f t="array" ref="X2">MEDIAN(IF(O2:$O$1027=$S2,$D$2:$D$1027,FALSE))</f>
        <v>60000</v>
      </c>
    </row>
    <row r="3" spans="1:24" x14ac:dyDescent="0.25">
      <c r="A3">
        <v>2</v>
      </c>
      <c r="B3" t="s">
        <v>13</v>
      </c>
      <c r="C3" t="s">
        <v>21</v>
      </c>
      <c r="D3">
        <v>30000</v>
      </c>
      <c r="E3">
        <v>3</v>
      </c>
      <c r="F3" s="2" t="s">
        <v>45</v>
      </c>
      <c r="G3" t="s">
        <v>22</v>
      </c>
      <c r="H3" t="s">
        <v>23</v>
      </c>
      <c r="I3" t="s">
        <v>17</v>
      </c>
      <c r="J3">
        <v>1</v>
      </c>
      <c r="K3" t="s">
        <v>44</v>
      </c>
      <c r="L3" t="s">
        <v>18</v>
      </c>
      <c r="M3" t="s">
        <v>19</v>
      </c>
      <c r="N3">
        <v>43</v>
      </c>
      <c r="O3" t="s">
        <v>20</v>
      </c>
      <c r="S3" t="s">
        <v>20</v>
      </c>
      <c r="T3">
        <f>_xlfn.MINIFS($D$2:$D$1027,$O$2:$O$1027,"="&amp;$S3)</f>
        <v>10000</v>
      </c>
      <c r="U3">
        <f>_xlfn.MAXIFS(D2:D1027,O2:O1027,$S3)</f>
        <v>170000</v>
      </c>
      <c r="V3">
        <f>AVERAGEIF($O$2:$O$1028,$S3,$D$2:$D$1028)</f>
        <v>55028.248587570619</v>
      </c>
      <c r="W3" s="1" cm="1">
        <f t="array" ref="W3">_xlfn.STDEV.S(IF($O$2:$O$1027=$S3,$D$2:$D$1027,FALSE))</f>
        <v>31505.452546096116</v>
      </c>
      <c r="X3" cm="1">
        <f t="array" ref="X3">MEDIAN(IF($O$2:$O$1027=$S3,$D2:$D1027,FALSE))</f>
        <v>60000</v>
      </c>
    </row>
    <row r="4" spans="1:24" x14ac:dyDescent="0.25">
      <c r="A4">
        <v>3</v>
      </c>
      <c r="B4" t="s">
        <v>13</v>
      </c>
      <c r="C4" t="s">
        <v>21</v>
      </c>
      <c r="D4">
        <v>80000</v>
      </c>
      <c r="E4">
        <v>5</v>
      </c>
      <c r="F4" s="2" t="s">
        <v>45</v>
      </c>
      <c r="G4" t="s">
        <v>22</v>
      </c>
      <c r="H4" t="s">
        <v>24</v>
      </c>
      <c r="I4" t="s">
        <v>20</v>
      </c>
      <c r="J4">
        <v>2</v>
      </c>
      <c r="K4" t="s">
        <v>44</v>
      </c>
      <c r="L4" t="s">
        <v>25</v>
      </c>
      <c r="M4" t="s">
        <v>19</v>
      </c>
      <c r="N4">
        <v>60</v>
      </c>
      <c r="O4" t="s">
        <v>20</v>
      </c>
    </row>
    <row r="5" spans="1:24" x14ac:dyDescent="0.25">
      <c r="A5">
        <v>4</v>
      </c>
      <c r="B5" t="s">
        <v>26</v>
      </c>
      <c r="C5" t="s">
        <v>21</v>
      </c>
      <c r="D5">
        <v>70000</v>
      </c>
      <c r="E5">
        <v>0</v>
      </c>
      <c r="F5" s="2" t="s">
        <v>46</v>
      </c>
      <c r="G5" t="s">
        <v>15</v>
      </c>
      <c r="H5" t="s">
        <v>24</v>
      </c>
      <c r="I5" t="s">
        <v>17</v>
      </c>
      <c r="J5">
        <v>1</v>
      </c>
      <c r="K5" t="s">
        <v>44</v>
      </c>
      <c r="L5" t="s">
        <v>27</v>
      </c>
      <c r="M5" t="s">
        <v>28</v>
      </c>
      <c r="N5">
        <v>41</v>
      </c>
      <c r="O5" t="s">
        <v>17</v>
      </c>
    </row>
    <row r="6" spans="1:24" x14ac:dyDescent="0.25">
      <c r="A6">
        <v>5</v>
      </c>
      <c r="B6" t="s">
        <v>26</v>
      </c>
      <c r="C6" t="s">
        <v>21</v>
      </c>
      <c r="D6">
        <v>30000</v>
      </c>
      <c r="E6">
        <v>0</v>
      </c>
      <c r="F6" s="2" t="s">
        <v>46</v>
      </c>
      <c r="G6" t="s">
        <v>15</v>
      </c>
      <c r="H6" t="s">
        <v>23</v>
      </c>
      <c r="I6" t="s">
        <v>20</v>
      </c>
      <c r="J6">
        <v>0</v>
      </c>
      <c r="K6" t="s">
        <v>43</v>
      </c>
      <c r="L6" t="s">
        <v>18</v>
      </c>
      <c r="M6" t="s">
        <v>19</v>
      </c>
      <c r="N6">
        <v>36</v>
      </c>
      <c r="O6" t="s">
        <v>17</v>
      </c>
    </row>
    <row r="7" spans="1:24" x14ac:dyDescent="0.25">
      <c r="A7">
        <v>6</v>
      </c>
      <c r="B7" t="s">
        <v>13</v>
      </c>
      <c r="C7" t="s">
        <v>14</v>
      </c>
      <c r="D7">
        <v>10000</v>
      </c>
      <c r="E7">
        <v>2</v>
      </c>
      <c r="F7" s="2" t="s">
        <v>45</v>
      </c>
      <c r="G7" t="s">
        <v>22</v>
      </c>
      <c r="H7" t="s">
        <v>29</v>
      </c>
      <c r="I7" t="s">
        <v>17</v>
      </c>
      <c r="J7">
        <v>0</v>
      </c>
      <c r="K7" t="s">
        <v>43</v>
      </c>
      <c r="L7" t="s">
        <v>30</v>
      </c>
      <c r="M7" t="s">
        <v>19</v>
      </c>
      <c r="N7">
        <v>50</v>
      </c>
      <c r="O7" t="s">
        <v>20</v>
      </c>
    </row>
    <row r="8" spans="1:24" x14ac:dyDescent="0.25">
      <c r="A8">
        <v>7</v>
      </c>
      <c r="B8" t="s">
        <v>26</v>
      </c>
      <c r="C8" t="s">
        <v>21</v>
      </c>
      <c r="D8">
        <v>160000</v>
      </c>
      <c r="E8">
        <v>2</v>
      </c>
      <c r="F8" s="2" t="s">
        <v>45</v>
      </c>
      <c r="G8" t="s">
        <v>31</v>
      </c>
      <c r="H8" t="s">
        <v>32</v>
      </c>
      <c r="I8" t="s">
        <v>17</v>
      </c>
      <c r="J8">
        <v>4</v>
      </c>
      <c r="K8" t="s">
        <v>44</v>
      </c>
      <c r="L8" t="s">
        <v>18</v>
      </c>
      <c r="M8" t="s">
        <v>28</v>
      </c>
      <c r="N8">
        <v>33</v>
      </c>
      <c r="O8" t="s">
        <v>17</v>
      </c>
    </row>
    <row r="9" spans="1:24" x14ac:dyDescent="0.25">
      <c r="A9">
        <v>8</v>
      </c>
      <c r="B9" t="s">
        <v>13</v>
      </c>
      <c r="C9" t="s">
        <v>21</v>
      </c>
      <c r="D9">
        <v>40000</v>
      </c>
      <c r="E9">
        <v>1</v>
      </c>
      <c r="F9" s="2" t="s">
        <v>45</v>
      </c>
      <c r="G9" t="s">
        <v>15</v>
      </c>
      <c r="H9" t="s">
        <v>16</v>
      </c>
      <c r="I9" t="s">
        <v>17</v>
      </c>
      <c r="J9">
        <v>0</v>
      </c>
      <c r="K9" t="s">
        <v>43</v>
      </c>
      <c r="L9" t="s">
        <v>18</v>
      </c>
      <c r="M9" t="s">
        <v>19</v>
      </c>
      <c r="N9">
        <v>43</v>
      </c>
      <c r="O9" t="s">
        <v>17</v>
      </c>
    </row>
    <row r="10" spans="1:24" x14ac:dyDescent="0.25">
      <c r="A10">
        <v>9</v>
      </c>
      <c r="B10" t="s">
        <v>13</v>
      </c>
      <c r="C10" t="s">
        <v>21</v>
      </c>
      <c r="D10">
        <v>20000</v>
      </c>
      <c r="E10">
        <v>2</v>
      </c>
      <c r="F10" s="2" t="s">
        <v>45</v>
      </c>
      <c r="G10" t="s">
        <v>33</v>
      </c>
      <c r="H10" t="s">
        <v>23</v>
      </c>
      <c r="I10" t="s">
        <v>17</v>
      </c>
      <c r="J10">
        <v>2</v>
      </c>
      <c r="K10" t="s">
        <v>44</v>
      </c>
      <c r="L10" t="s">
        <v>27</v>
      </c>
      <c r="M10" t="s">
        <v>28</v>
      </c>
      <c r="N10">
        <v>58</v>
      </c>
      <c r="O10" t="s">
        <v>20</v>
      </c>
    </row>
    <row r="11" spans="1:24" x14ac:dyDescent="0.25">
      <c r="A11">
        <v>10</v>
      </c>
      <c r="B11" t="s">
        <v>13</v>
      </c>
      <c r="C11" t="s">
        <v>21</v>
      </c>
      <c r="D11">
        <v>120000</v>
      </c>
      <c r="E11">
        <v>2</v>
      </c>
      <c r="F11" s="2" t="s">
        <v>45</v>
      </c>
      <c r="G11" t="s">
        <v>22</v>
      </c>
      <c r="H11" t="s">
        <v>29</v>
      </c>
      <c r="I11" t="s">
        <v>17</v>
      </c>
      <c r="J11">
        <v>1</v>
      </c>
      <c r="K11" t="s">
        <v>44</v>
      </c>
      <c r="L11" t="s">
        <v>18</v>
      </c>
      <c r="M11" t="s">
        <v>19</v>
      </c>
      <c r="N11">
        <v>40</v>
      </c>
      <c r="O11" t="s">
        <v>17</v>
      </c>
    </row>
    <row r="12" spans="1:24" x14ac:dyDescent="0.25">
      <c r="A12">
        <v>11</v>
      </c>
      <c r="B12" t="s">
        <v>13</v>
      </c>
      <c r="C12" t="s">
        <v>14</v>
      </c>
      <c r="D12">
        <v>30000</v>
      </c>
      <c r="E12">
        <v>3</v>
      </c>
      <c r="F12" s="2" t="s">
        <v>45</v>
      </c>
      <c r="G12" t="s">
        <v>31</v>
      </c>
      <c r="H12" t="s">
        <v>16</v>
      </c>
      <c r="I12" t="s">
        <v>20</v>
      </c>
      <c r="J12">
        <v>2</v>
      </c>
      <c r="K12" t="s">
        <v>44</v>
      </c>
      <c r="L12" t="s">
        <v>30</v>
      </c>
      <c r="M12" t="s">
        <v>28</v>
      </c>
      <c r="N12">
        <v>54</v>
      </c>
      <c r="O12" t="s">
        <v>17</v>
      </c>
    </row>
    <row r="13" spans="1:24" x14ac:dyDescent="0.25">
      <c r="A13">
        <v>12</v>
      </c>
      <c r="B13" t="s">
        <v>26</v>
      </c>
      <c r="C13" t="s">
        <v>14</v>
      </c>
      <c r="D13">
        <v>90000</v>
      </c>
      <c r="E13">
        <v>0</v>
      </c>
      <c r="F13" s="2" t="s">
        <v>46</v>
      </c>
      <c r="G13" t="s">
        <v>15</v>
      </c>
      <c r="H13" t="s">
        <v>24</v>
      </c>
      <c r="I13" t="s">
        <v>20</v>
      </c>
      <c r="J13">
        <v>4</v>
      </c>
      <c r="K13" t="s">
        <v>44</v>
      </c>
      <c r="L13" t="s">
        <v>34</v>
      </c>
      <c r="M13" t="s">
        <v>28</v>
      </c>
      <c r="N13">
        <v>36</v>
      </c>
      <c r="O13" t="s">
        <v>20</v>
      </c>
    </row>
    <row r="14" spans="1:24" x14ac:dyDescent="0.25">
      <c r="A14">
        <v>13</v>
      </c>
      <c r="B14" t="s">
        <v>13</v>
      </c>
      <c r="C14" t="s">
        <v>21</v>
      </c>
      <c r="D14">
        <v>170000</v>
      </c>
      <c r="E14">
        <v>5</v>
      </c>
      <c r="F14" s="2" t="s">
        <v>45</v>
      </c>
      <c r="G14" t="s">
        <v>22</v>
      </c>
      <c r="H14" t="s">
        <v>24</v>
      </c>
      <c r="I14" t="s">
        <v>17</v>
      </c>
      <c r="J14">
        <v>0</v>
      </c>
      <c r="K14" t="s">
        <v>43</v>
      </c>
      <c r="L14" t="s">
        <v>18</v>
      </c>
      <c r="M14" t="s">
        <v>19</v>
      </c>
      <c r="N14">
        <v>55</v>
      </c>
      <c r="O14" t="s">
        <v>20</v>
      </c>
    </row>
    <row r="15" spans="1:24" x14ac:dyDescent="0.25">
      <c r="A15">
        <v>14</v>
      </c>
      <c r="B15" t="s">
        <v>13</v>
      </c>
      <c r="C15" t="s">
        <v>21</v>
      </c>
      <c r="D15">
        <v>40000</v>
      </c>
      <c r="E15">
        <v>2</v>
      </c>
      <c r="F15" s="2" t="s">
        <v>45</v>
      </c>
      <c r="G15" t="s">
        <v>22</v>
      </c>
      <c r="H15" t="s">
        <v>23</v>
      </c>
      <c r="I15" t="s">
        <v>17</v>
      </c>
      <c r="J15">
        <v>1</v>
      </c>
      <c r="K15" t="s">
        <v>44</v>
      </c>
      <c r="L15" t="s">
        <v>30</v>
      </c>
      <c r="M15" t="s">
        <v>19</v>
      </c>
      <c r="N15">
        <v>35</v>
      </c>
      <c r="O15" t="s">
        <v>17</v>
      </c>
    </row>
    <row r="16" spans="1:24" x14ac:dyDescent="0.25">
      <c r="A16">
        <v>15</v>
      </c>
      <c r="B16" t="s">
        <v>26</v>
      </c>
      <c r="C16" t="s">
        <v>21</v>
      </c>
      <c r="D16">
        <v>60000</v>
      </c>
      <c r="E16">
        <v>1</v>
      </c>
      <c r="F16" s="2" t="s">
        <v>45</v>
      </c>
      <c r="G16" t="s">
        <v>22</v>
      </c>
      <c r="H16" t="s">
        <v>16</v>
      </c>
      <c r="I16" t="s">
        <v>20</v>
      </c>
      <c r="J16">
        <v>1</v>
      </c>
      <c r="K16" t="s">
        <v>44</v>
      </c>
      <c r="L16" t="s">
        <v>18</v>
      </c>
      <c r="M16" t="s">
        <v>28</v>
      </c>
      <c r="N16">
        <v>45</v>
      </c>
      <c r="O16" t="s">
        <v>17</v>
      </c>
    </row>
    <row r="17" spans="1:24" x14ac:dyDescent="0.25">
      <c r="A17">
        <v>16</v>
      </c>
      <c r="B17" t="s">
        <v>26</v>
      </c>
      <c r="C17" t="s">
        <v>14</v>
      </c>
      <c r="D17">
        <v>10000</v>
      </c>
      <c r="E17">
        <v>2</v>
      </c>
      <c r="F17" s="2" t="s">
        <v>45</v>
      </c>
      <c r="G17" t="s">
        <v>31</v>
      </c>
      <c r="H17" t="s">
        <v>29</v>
      </c>
      <c r="I17" t="s">
        <v>17</v>
      </c>
      <c r="J17">
        <v>1</v>
      </c>
      <c r="K17" t="s">
        <v>44</v>
      </c>
      <c r="L17" t="s">
        <v>18</v>
      </c>
      <c r="M17" t="s">
        <v>19</v>
      </c>
      <c r="N17">
        <v>38</v>
      </c>
      <c r="O17" t="s">
        <v>17</v>
      </c>
    </row>
    <row r="18" spans="1:24" x14ac:dyDescent="0.25">
      <c r="A18">
        <v>17</v>
      </c>
      <c r="B18" t="s">
        <v>26</v>
      </c>
      <c r="C18" t="s">
        <v>21</v>
      </c>
      <c r="D18">
        <v>30000</v>
      </c>
      <c r="E18">
        <v>3</v>
      </c>
      <c r="F18" s="2" t="s">
        <v>45</v>
      </c>
      <c r="G18" t="s">
        <v>22</v>
      </c>
      <c r="H18" t="s">
        <v>23</v>
      </c>
      <c r="I18" t="s">
        <v>20</v>
      </c>
      <c r="J18">
        <v>2</v>
      </c>
      <c r="K18" t="s">
        <v>44</v>
      </c>
      <c r="L18" t="s">
        <v>30</v>
      </c>
      <c r="M18" t="s">
        <v>28</v>
      </c>
      <c r="N18">
        <v>59</v>
      </c>
      <c r="O18" t="s">
        <v>17</v>
      </c>
    </row>
    <row r="19" spans="1:24" x14ac:dyDescent="0.25">
      <c r="A19">
        <v>18</v>
      </c>
      <c r="B19" t="s">
        <v>13</v>
      </c>
      <c r="C19" t="s">
        <v>14</v>
      </c>
      <c r="D19">
        <v>30000</v>
      </c>
      <c r="E19">
        <v>1</v>
      </c>
      <c r="F19" s="2" t="s">
        <v>45</v>
      </c>
      <c r="G19" t="s">
        <v>15</v>
      </c>
      <c r="H19" t="s">
        <v>23</v>
      </c>
      <c r="I19" t="s">
        <v>17</v>
      </c>
      <c r="J19">
        <v>0</v>
      </c>
      <c r="K19" t="s">
        <v>43</v>
      </c>
      <c r="L19" t="s">
        <v>18</v>
      </c>
      <c r="M19" t="s">
        <v>19</v>
      </c>
      <c r="N19">
        <v>47</v>
      </c>
      <c r="O19" t="s">
        <v>20</v>
      </c>
    </row>
    <row r="20" spans="1:24" x14ac:dyDescent="0.25">
      <c r="A20">
        <v>19</v>
      </c>
      <c r="B20" t="s">
        <v>26</v>
      </c>
      <c r="C20" t="s">
        <v>21</v>
      </c>
      <c r="D20">
        <v>40000</v>
      </c>
      <c r="E20">
        <v>2</v>
      </c>
      <c r="F20" s="2" t="s">
        <v>45</v>
      </c>
      <c r="G20" t="s">
        <v>22</v>
      </c>
      <c r="H20" t="s">
        <v>23</v>
      </c>
      <c r="I20" t="s">
        <v>17</v>
      </c>
      <c r="J20">
        <v>1</v>
      </c>
      <c r="K20" t="s">
        <v>44</v>
      </c>
      <c r="L20" t="s">
        <v>30</v>
      </c>
      <c r="M20" t="s">
        <v>19</v>
      </c>
      <c r="N20">
        <v>35</v>
      </c>
      <c r="O20" t="s">
        <v>17</v>
      </c>
    </row>
    <row r="21" spans="1:24" x14ac:dyDescent="0.25">
      <c r="A21">
        <v>20</v>
      </c>
      <c r="B21" t="s">
        <v>26</v>
      </c>
      <c r="C21" t="s">
        <v>21</v>
      </c>
      <c r="D21">
        <v>20000</v>
      </c>
      <c r="E21">
        <v>2</v>
      </c>
      <c r="F21" s="2" t="s">
        <v>45</v>
      </c>
      <c r="G21" t="s">
        <v>33</v>
      </c>
      <c r="H21" t="s">
        <v>23</v>
      </c>
      <c r="I21" t="s">
        <v>17</v>
      </c>
      <c r="J21">
        <v>2</v>
      </c>
      <c r="K21" t="s">
        <v>44</v>
      </c>
      <c r="L21" t="s">
        <v>27</v>
      </c>
      <c r="M21" t="s">
        <v>28</v>
      </c>
      <c r="N21">
        <v>55</v>
      </c>
      <c r="O21" t="s">
        <v>17</v>
      </c>
      <c r="S21" s="13" t="s">
        <v>1</v>
      </c>
      <c r="T21" s="14" t="s">
        <v>53</v>
      </c>
      <c r="U21" s="14" t="s">
        <v>54</v>
      </c>
      <c r="V21" s="15" t="s">
        <v>55</v>
      </c>
    </row>
    <row r="22" spans="1:24" x14ac:dyDescent="0.25">
      <c r="A22">
        <v>21</v>
      </c>
      <c r="B22" t="s">
        <v>13</v>
      </c>
      <c r="C22" t="s">
        <v>14</v>
      </c>
      <c r="D22">
        <v>40000</v>
      </c>
      <c r="E22">
        <v>0</v>
      </c>
      <c r="F22" s="2" t="s">
        <v>46</v>
      </c>
      <c r="G22" t="s">
        <v>35</v>
      </c>
      <c r="H22" t="s">
        <v>23</v>
      </c>
      <c r="I22" t="s">
        <v>17</v>
      </c>
      <c r="J22">
        <v>0</v>
      </c>
      <c r="K22" t="s">
        <v>43</v>
      </c>
      <c r="L22" t="s">
        <v>18</v>
      </c>
      <c r="M22" t="s">
        <v>19</v>
      </c>
      <c r="N22">
        <v>36</v>
      </c>
      <c r="O22" t="s">
        <v>17</v>
      </c>
      <c r="S22" s="11" t="s">
        <v>13</v>
      </c>
      <c r="T22" s="6">
        <f>_xlfn.MINIFS($N$2:$N$1027,$B$2:$B$1027,"="&amp;$S22)</f>
        <v>25</v>
      </c>
      <c r="U22" s="6">
        <f>_xlfn.MAXIFS($N$2:$N$1027,$B$2:$B$1027,"="&amp;$S22)</f>
        <v>89</v>
      </c>
      <c r="V22" s="12">
        <f>AVERAGEIF($B$2:$B$1027,"="&amp;$S22,N2:N1027)</f>
        <v>46.357012750455375</v>
      </c>
    </row>
    <row r="23" spans="1:24" x14ac:dyDescent="0.25">
      <c r="A23">
        <v>22</v>
      </c>
      <c r="B23" t="s">
        <v>26</v>
      </c>
      <c r="C23" t="s">
        <v>14</v>
      </c>
      <c r="D23">
        <v>80000</v>
      </c>
      <c r="E23">
        <v>0</v>
      </c>
      <c r="F23" s="2" t="s">
        <v>46</v>
      </c>
      <c r="G23" t="s">
        <v>15</v>
      </c>
      <c r="H23" t="s">
        <v>24</v>
      </c>
      <c r="I23" t="s">
        <v>17</v>
      </c>
      <c r="J23">
        <v>4</v>
      </c>
      <c r="K23" t="s">
        <v>44</v>
      </c>
      <c r="L23" t="s">
        <v>34</v>
      </c>
      <c r="M23" t="s">
        <v>28</v>
      </c>
      <c r="N23">
        <v>35</v>
      </c>
      <c r="O23" t="s">
        <v>20</v>
      </c>
      <c r="S23" s="16" t="s">
        <v>26</v>
      </c>
      <c r="T23" s="17">
        <f>_xlfn.MINIFS($N$2:$N$1027,$B$2:$B$1027,"="&amp;$S23)</f>
        <v>25</v>
      </c>
      <c r="U23" s="17">
        <f>_xlfn.MAXIFS($N$2:$N$1027,$B$2:$B$1027,"="&amp;$S23)</f>
        <v>78</v>
      </c>
      <c r="V23" s="18">
        <f>AVERAGEIF($B$2:$B$1027,"="&amp;$S23,$N$2:$N$1028)</f>
        <v>41.584905660377359</v>
      </c>
    </row>
    <row r="24" spans="1:24" x14ac:dyDescent="0.25">
      <c r="A24">
        <v>23</v>
      </c>
      <c r="B24" t="s">
        <v>26</v>
      </c>
      <c r="C24" t="s">
        <v>21</v>
      </c>
      <c r="D24">
        <v>40000</v>
      </c>
      <c r="E24">
        <v>2</v>
      </c>
      <c r="F24" s="2" t="s">
        <v>45</v>
      </c>
      <c r="G24" t="s">
        <v>22</v>
      </c>
      <c r="H24" t="s">
        <v>23</v>
      </c>
      <c r="I24" t="s">
        <v>17</v>
      </c>
      <c r="J24">
        <v>0</v>
      </c>
      <c r="K24" t="s">
        <v>43</v>
      </c>
      <c r="L24" t="s">
        <v>30</v>
      </c>
      <c r="M24" t="s">
        <v>19</v>
      </c>
      <c r="N24">
        <v>35</v>
      </c>
      <c r="O24" t="s">
        <v>17</v>
      </c>
      <c r="S24" s="1"/>
    </row>
    <row r="25" spans="1:24" x14ac:dyDescent="0.25">
      <c r="A25">
        <v>24</v>
      </c>
      <c r="B25" t="s">
        <v>13</v>
      </c>
      <c r="C25" t="s">
        <v>14</v>
      </c>
      <c r="D25">
        <v>80000</v>
      </c>
      <c r="E25">
        <v>5</v>
      </c>
      <c r="F25" s="2" t="s">
        <v>45</v>
      </c>
      <c r="G25" t="s">
        <v>31</v>
      </c>
      <c r="H25" t="s">
        <v>32</v>
      </c>
      <c r="I25" t="s">
        <v>20</v>
      </c>
      <c r="J25">
        <v>3</v>
      </c>
      <c r="K25" t="s">
        <v>44</v>
      </c>
      <c r="L25" t="s">
        <v>27</v>
      </c>
      <c r="M25" t="s">
        <v>19</v>
      </c>
      <c r="N25">
        <v>56</v>
      </c>
      <c r="O25" t="s">
        <v>20</v>
      </c>
      <c r="S25" s="1"/>
      <c r="X25" t="s">
        <v>61</v>
      </c>
    </row>
    <row r="26" spans="1:24" x14ac:dyDescent="0.25">
      <c r="A26">
        <v>25</v>
      </c>
      <c r="B26" t="s">
        <v>26</v>
      </c>
      <c r="C26" t="s">
        <v>21</v>
      </c>
      <c r="D26">
        <v>40000</v>
      </c>
      <c r="E26">
        <v>2</v>
      </c>
      <c r="F26" s="2" t="s">
        <v>45</v>
      </c>
      <c r="G26" t="s">
        <v>22</v>
      </c>
      <c r="H26" t="s">
        <v>23</v>
      </c>
      <c r="I26" t="s">
        <v>20</v>
      </c>
      <c r="J26">
        <v>1</v>
      </c>
      <c r="K26" t="s">
        <v>44</v>
      </c>
      <c r="L26" t="s">
        <v>18</v>
      </c>
      <c r="M26" t="s">
        <v>19</v>
      </c>
      <c r="N26">
        <v>34</v>
      </c>
      <c r="O26" t="s">
        <v>20</v>
      </c>
    </row>
    <row r="27" spans="1:24" x14ac:dyDescent="0.25">
      <c r="A27">
        <v>26</v>
      </c>
      <c r="B27" t="s">
        <v>26</v>
      </c>
      <c r="C27" t="s">
        <v>21</v>
      </c>
      <c r="D27">
        <v>30000</v>
      </c>
      <c r="E27">
        <v>1</v>
      </c>
      <c r="F27" s="2" t="s">
        <v>45</v>
      </c>
      <c r="G27" t="s">
        <v>15</v>
      </c>
      <c r="H27" t="s">
        <v>23</v>
      </c>
      <c r="I27" t="s">
        <v>17</v>
      </c>
      <c r="J27">
        <v>0</v>
      </c>
      <c r="K27" t="s">
        <v>43</v>
      </c>
      <c r="L27" t="s">
        <v>18</v>
      </c>
      <c r="M27" t="s">
        <v>19</v>
      </c>
      <c r="N27">
        <v>63</v>
      </c>
      <c r="O27" t="s">
        <v>20</v>
      </c>
    </row>
    <row r="28" spans="1:24" x14ac:dyDescent="0.25">
      <c r="A28">
        <v>27</v>
      </c>
      <c r="B28" t="s">
        <v>26</v>
      </c>
      <c r="C28" t="s">
        <v>21</v>
      </c>
      <c r="D28">
        <v>30000</v>
      </c>
      <c r="E28">
        <v>0</v>
      </c>
      <c r="F28" s="2" t="s">
        <v>46</v>
      </c>
      <c r="G28" t="s">
        <v>22</v>
      </c>
      <c r="H28" t="s">
        <v>23</v>
      </c>
      <c r="I28" t="s">
        <v>20</v>
      </c>
      <c r="J28">
        <v>1</v>
      </c>
      <c r="K28" t="s">
        <v>44</v>
      </c>
      <c r="L28" t="s">
        <v>18</v>
      </c>
      <c r="M28" t="s">
        <v>19</v>
      </c>
      <c r="N28">
        <v>29</v>
      </c>
      <c r="O28" t="s">
        <v>17</v>
      </c>
    </row>
    <row r="29" spans="1:24" x14ac:dyDescent="0.25">
      <c r="A29">
        <v>28</v>
      </c>
      <c r="B29" t="s">
        <v>26</v>
      </c>
      <c r="C29" t="s">
        <v>14</v>
      </c>
      <c r="D29">
        <v>100000</v>
      </c>
      <c r="E29">
        <v>0</v>
      </c>
      <c r="F29" s="2" t="s">
        <v>46</v>
      </c>
      <c r="G29" t="s">
        <v>15</v>
      </c>
      <c r="H29" t="s">
        <v>24</v>
      </c>
      <c r="I29" t="s">
        <v>20</v>
      </c>
      <c r="J29">
        <v>1</v>
      </c>
      <c r="K29" t="s">
        <v>44</v>
      </c>
      <c r="L29" t="s">
        <v>27</v>
      </c>
      <c r="M29" t="s">
        <v>28</v>
      </c>
      <c r="N29">
        <v>40</v>
      </c>
      <c r="O29" t="s">
        <v>20</v>
      </c>
    </row>
    <row r="30" spans="1:24" x14ac:dyDescent="0.25">
      <c r="A30">
        <v>29</v>
      </c>
      <c r="B30" t="s">
        <v>13</v>
      </c>
      <c r="C30" t="s">
        <v>21</v>
      </c>
      <c r="D30">
        <v>70000</v>
      </c>
      <c r="E30">
        <v>5</v>
      </c>
      <c r="F30" s="2" t="s">
        <v>45</v>
      </c>
      <c r="G30" t="s">
        <v>22</v>
      </c>
      <c r="H30" t="s">
        <v>16</v>
      </c>
      <c r="I30" t="s">
        <v>17</v>
      </c>
      <c r="J30">
        <v>2</v>
      </c>
      <c r="K30" t="s">
        <v>44</v>
      </c>
      <c r="L30" t="s">
        <v>27</v>
      </c>
      <c r="M30" t="s">
        <v>28</v>
      </c>
      <c r="N30">
        <v>44</v>
      </c>
      <c r="O30" t="s">
        <v>20</v>
      </c>
    </row>
    <row r="31" spans="1:24" x14ac:dyDescent="0.25">
      <c r="A31">
        <v>30</v>
      </c>
      <c r="B31" t="s">
        <v>26</v>
      </c>
      <c r="C31" t="s">
        <v>14</v>
      </c>
      <c r="D31">
        <v>20000</v>
      </c>
      <c r="E31">
        <v>0</v>
      </c>
      <c r="F31" s="2" t="s">
        <v>46</v>
      </c>
      <c r="G31" t="s">
        <v>33</v>
      </c>
      <c r="H31" t="s">
        <v>29</v>
      </c>
      <c r="I31" t="s">
        <v>20</v>
      </c>
      <c r="J31">
        <v>2</v>
      </c>
      <c r="K31" t="s">
        <v>44</v>
      </c>
      <c r="L31" t="s">
        <v>18</v>
      </c>
      <c r="M31" t="s">
        <v>19</v>
      </c>
      <c r="N31">
        <v>32</v>
      </c>
      <c r="O31" t="s">
        <v>17</v>
      </c>
    </row>
    <row r="32" spans="1:24" x14ac:dyDescent="0.25">
      <c r="A32">
        <v>31</v>
      </c>
      <c r="B32" t="s">
        <v>13</v>
      </c>
      <c r="C32" t="s">
        <v>14</v>
      </c>
      <c r="D32">
        <v>20000</v>
      </c>
      <c r="E32">
        <v>2</v>
      </c>
      <c r="F32" s="2" t="s">
        <v>45</v>
      </c>
      <c r="G32" t="s">
        <v>22</v>
      </c>
      <c r="H32" t="s">
        <v>29</v>
      </c>
      <c r="I32" t="s">
        <v>17</v>
      </c>
      <c r="J32">
        <v>0</v>
      </c>
      <c r="K32" t="s">
        <v>43</v>
      </c>
      <c r="L32" t="s">
        <v>18</v>
      </c>
      <c r="M32" t="s">
        <v>19</v>
      </c>
      <c r="N32">
        <v>63</v>
      </c>
      <c r="O32" t="s">
        <v>20</v>
      </c>
    </row>
    <row r="33" spans="1:22" x14ac:dyDescent="0.25">
      <c r="A33">
        <v>32</v>
      </c>
      <c r="B33" t="s">
        <v>13</v>
      </c>
      <c r="C33" t="s">
        <v>21</v>
      </c>
      <c r="D33">
        <v>10000</v>
      </c>
      <c r="E33">
        <v>0</v>
      </c>
      <c r="F33" s="2" t="s">
        <v>46</v>
      </c>
      <c r="G33" t="s">
        <v>22</v>
      </c>
      <c r="H33" t="s">
        <v>29</v>
      </c>
      <c r="I33" t="s">
        <v>20</v>
      </c>
      <c r="J33">
        <v>1</v>
      </c>
      <c r="K33" t="s">
        <v>44</v>
      </c>
      <c r="L33" t="s">
        <v>18</v>
      </c>
      <c r="M33" t="s">
        <v>28</v>
      </c>
      <c r="N33">
        <v>26</v>
      </c>
      <c r="O33" t="s">
        <v>17</v>
      </c>
    </row>
    <row r="34" spans="1:22" x14ac:dyDescent="0.25">
      <c r="A34">
        <v>33</v>
      </c>
      <c r="B34" t="s">
        <v>26</v>
      </c>
      <c r="C34" t="s">
        <v>14</v>
      </c>
      <c r="D34">
        <v>20000</v>
      </c>
      <c r="E34">
        <v>0</v>
      </c>
      <c r="F34" s="2" t="s">
        <v>46</v>
      </c>
      <c r="G34" t="s">
        <v>31</v>
      </c>
      <c r="H34" t="s">
        <v>29</v>
      </c>
      <c r="I34" t="s">
        <v>20</v>
      </c>
      <c r="J34">
        <v>1</v>
      </c>
      <c r="K34" t="s">
        <v>44</v>
      </c>
      <c r="L34" t="s">
        <v>27</v>
      </c>
      <c r="M34" t="s">
        <v>19</v>
      </c>
      <c r="N34">
        <v>31</v>
      </c>
      <c r="O34" t="s">
        <v>20</v>
      </c>
    </row>
    <row r="35" spans="1:22" x14ac:dyDescent="0.25">
      <c r="A35">
        <v>34</v>
      </c>
      <c r="B35" t="s">
        <v>26</v>
      </c>
      <c r="C35" t="s">
        <v>21</v>
      </c>
      <c r="D35">
        <v>80000</v>
      </c>
      <c r="E35">
        <v>2</v>
      </c>
      <c r="F35" s="2" t="s">
        <v>45</v>
      </c>
      <c r="G35" t="s">
        <v>31</v>
      </c>
      <c r="H35" t="s">
        <v>16</v>
      </c>
      <c r="I35" t="s">
        <v>20</v>
      </c>
      <c r="J35">
        <v>2</v>
      </c>
      <c r="K35" t="s">
        <v>44</v>
      </c>
      <c r="L35" t="s">
        <v>30</v>
      </c>
      <c r="M35" t="s">
        <v>28</v>
      </c>
      <c r="N35">
        <v>50</v>
      </c>
      <c r="O35" t="s">
        <v>17</v>
      </c>
    </row>
    <row r="36" spans="1:22" x14ac:dyDescent="0.25">
      <c r="A36">
        <v>35</v>
      </c>
      <c r="B36" t="s">
        <v>26</v>
      </c>
      <c r="C36" t="s">
        <v>21</v>
      </c>
      <c r="D36">
        <v>90000</v>
      </c>
      <c r="E36">
        <v>5</v>
      </c>
      <c r="F36" s="2" t="s">
        <v>45</v>
      </c>
      <c r="G36" t="s">
        <v>22</v>
      </c>
      <c r="H36" t="s">
        <v>24</v>
      </c>
      <c r="I36" t="s">
        <v>20</v>
      </c>
      <c r="J36">
        <v>2</v>
      </c>
      <c r="K36" t="s">
        <v>44</v>
      </c>
      <c r="L36" t="s">
        <v>25</v>
      </c>
      <c r="M36" t="s">
        <v>19</v>
      </c>
      <c r="N36">
        <v>62</v>
      </c>
      <c r="O36" t="s">
        <v>17</v>
      </c>
    </row>
    <row r="37" spans="1:22" x14ac:dyDescent="0.25">
      <c r="A37">
        <v>36</v>
      </c>
      <c r="B37" t="s">
        <v>26</v>
      </c>
      <c r="C37" t="s">
        <v>14</v>
      </c>
      <c r="D37">
        <v>10000</v>
      </c>
      <c r="E37">
        <v>5</v>
      </c>
      <c r="F37" s="2" t="s">
        <v>45</v>
      </c>
      <c r="G37" t="s">
        <v>33</v>
      </c>
      <c r="H37" t="s">
        <v>29</v>
      </c>
      <c r="I37" t="s">
        <v>20</v>
      </c>
      <c r="J37">
        <v>2</v>
      </c>
      <c r="K37" t="s">
        <v>44</v>
      </c>
      <c r="L37" t="s">
        <v>18</v>
      </c>
      <c r="M37" t="s">
        <v>19</v>
      </c>
      <c r="N37">
        <v>41</v>
      </c>
      <c r="O37" t="s">
        <v>20</v>
      </c>
    </row>
    <row r="38" spans="1:22" x14ac:dyDescent="0.25">
      <c r="A38">
        <v>37</v>
      </c>
      <c r="B38" t="s">
        <v>13</v>
      </c>
      <c r="C38" t="s">
        <v>14</v>
      </c>
      <c r="D38">
        <v>10000</v>
      </c>
      <c r="E38">
        <v>2</v>
      </c>
      <c r="F38" s="2" t="s">
        <v>45</v>
      </c>
      <c r="G38" t="s">
        <v>22</v>
      </c>
      <c r="H38" t="s">
        <v>29</v>
      </c>
      <c r="I38" t="s">
        <v>17</v>
      </c>
      <c r="J38">
        <v>1</v>
      </c>
      <c r="K38" t="s">
        <v>44</v>
      </c>
      <c r="L38" t="s">
        <v>18</v>
      </c>
      <c r="M38" t="s">
        <v>19</v>
      </c>
      <c r="N38">
        <v>50</v>
      </c>
      <c r="O38" t="s">
        <v>17</v>
      </c>
    </row>
    <row r="39" spans="1:22" x14ac:dyDescent="0.25">
      <c r="A39">
        <v>38</v>
      </c>
      <c r="B39" t="s">
        <v>26</v>
      </c>
      <c r="C39" t="s">
        <v>14</v>
      </c>
      <c r="D39">
        <v>30000</v>
      </c>
      <c r="E39">
        <v>0</v>
      </c>
      <c r="F39" s="2" t="s">
        <v>46</v>
      </c>
      <c r="G39" t="s">
        <v>22</v>
      </c>
      <c r="H39" t="s">
        <v>23</v>
      </c>
      <c r="I39" t="s">
        <v>20</v>
      </c>
      <c r="J39">
        <v>1</v>
      </c>
      <c r="K39" t="s">
        <v>44</v>
      </c>
      <c r="L39" t="s">
        <v>25</v>
      </c>
      <c r="M39" t="s">
        <v>19</v>
      </c>
      <c r="N39">
        <v>30</v>
      </c>
      <c r="O39" t="s">
        <v>20</v>
      </c>
    </row>
    <row r="40" spans="1:22" x14ac:dyDescent="0.25">
      <c r="A40">
        <v>39</v>
      </c>
      <c r="B40" t="s">
        <v>26</v>
      </c>
      <c r="C40" t="s">
        <v>21</v>
      </c>
      <c r="D40">
        <v>20000</v>
      </c>
      <c r="E40">
        <v>0</v>
      </c>
      <c r="F40" s="2" t="s">
        <v>46</v>
      </c>
      <c r="G40" t="s">
        <v>31</v>
      </c>
      <c r="H40" t="s">
        <v>29</v>
      </c>
      <c r="I40" t="s">
        <v>20</v>
      </c>
      <c r="J40">
        <v>1</v>
      </c>
      <c r="K40" t="s">
        <v>44</v>
      </c>
      <c r="L40" t="s">
        <v>25</v>
      </c>
      <c r="M40" t="s">
        <v>19</v>
      </c>
      <c r="N40">
        <v>28</v>
      </c>
      <c r="O40" t="s">
        <v>20</v>
      </c>
    </row>
    <row r="41" spans="1:22" x14ac:dyDescent="0.25">
      <c r="A41">
        <v>40</v>
      </c>
      <c r="B41" t="s">
        <v>26</v>
      </c>
      <c r="C41" t="s">
        <v>14</v>
      </c>
      <c r="D41">
        <v>10000</v>
      </c>
      <c r="E41">
        <v>4</v>
      </c>
      <c r="F41" s="2" t="s">
        <v>45</v>
      </c>
      <c r="G41" t="s">
        <v>33</v>
      </c>
      <c r="H41" t="s">
        <v>29</v>
      </c>
      <c r="I41" t="s">
        <v>17</v>
      </c>
      <c r="J41">
        <v>2</v>
      </c>
      <c r="K41" t="s">
        <v>44</v>
      </c>
      <c r="L41" t="s">
        <v>18</v>
      </c>
      <c r="M41" t="s">
        <v>19</v>
      </c>
      <c r="N41">
        <v>40</v>
      </c>
      <c r="O41" t="s">
        <v>17</v>
      </c>
    </row>
    <row r="42" spans="1:22" x14ac:dyDescent="0.25">
      <c r="A42">
        <v>41</v>
      </c>
      <c r="B42" t="s">
        <v>26</v>
      </c>
      <c r="C42" t="s">
        <v>14</v>
      </c>
      <c r="D42">
        <v>30000</v>
      </c>
      <c r="E42">
        <v>2</v>
      </c>
      <c r="F42" s="2" t="s">
        <v>45</v>
      </c>
      <c r="G42" t="s">
        <v>22</v>
      </c>
      <c r="H42" t="s">
        <v>23</v>
      </c>
      <c r="I42" t="s">
        <v>20</v>
      </c>
      <c r="J42">
        <v>0</v>
      </c>
      <c r="K42" t="s">
        <v>43</v>
      </c>
      <c r="L42" t="s">
        <v>18</v>
      </c>
      <c r="M42" t="s">
        <v>19</v>
      </c>
      <c r="N42">
        <v>43</v>
      </c>
      <c r="O42" t="s">
        <v>20</v>
      </c>
      <c r="S42" s="21" t="s">
        <v>2</v>
      </c>
      <c r="T42" s="24" t="s">
        <v>56</v>
      </c>
      <c r="U42" s="24" t="s">
        <v>57</v>
      </c>
      <c r="V42" s="20" t="s">
        <v>51</v>
      </c>
    </row>
    <row r="43" spans="1:22" x14ac:dyDescent="0.25">
      <c r="A43">
        <v>42</v>
      </c>
      <c r="B43" t="s">
        <v>26</v>
      </c>
      <c r="C43" t="s">
        <v>14</v>
      </c>
      <c r="D43">
        <v>40000</v>
      </c>
      <c r="E43">
        <v>2</v>
      </c>
      <c r="F43" s="2" t="s">
        <v>45</v>
      </c>
      <c r="G43" t="s">
        <v>15</v>
      </c>
      <c r="H43" t="s">
        <v>32</v>
      </c>
      <c r="I43" t="s">
        <v>17</v>
      </c>
      <c r="J43">
        <v>2</v>
      </c>
      <c r="K43" t="s">
        <v>44</v>
      </c>
      <c r="L43" t="s">
        <v>27</v>
      </c>
      <c r="M43" t="s">
        <v>28</v>
      </c>
      <c r="N43">
        <v>65</v>
      </c>
      <c r="O43" t="s">
        <v>17</v>
      </c>
      <c r="S43" s="22" t="s">
        <v>14</v>
      </c>
      <c r="T43" s="8">
        <f>COUNTIF($C$2:$C$1027,$S43)</f>
        <v>501</v>
      </c>
      <c r="U43" s="8">
        <f>COUNTIFS($O$2:$O$1027,"=Yes",$C$2:$C$1027,S43)</f>
        <v>243</v>
      </c>
      <c r="V43" s="23">
        <f>($U43/$T43) * 100</f>
        <v>48.50299401197605</v>
      </c>
    </row>
    <row r="44" spans="1:22" x14ac:dyDescent="0.25">
      <c r="A44">
        <v>43</v>
      </c>
      <c r="B44" t="s">
        <v>13</v>
      </c>
      <c r="C44" t="s">
        <v>14</v>
      </c>
      <c r="D44">
        <v>10000</v>
      </c>
      <c r="E44">
        <v>1</v>
      </c>
      <c r="F44" s="2" t="s">
        <v>45</v>
      </c>
      <c r="G44" t="s">
        <v>35</v>
      </c>
      <c r="H44" t="s">
        <v>29</v>
      </c>
      <c r="I44" t="s">
        <v>17</v>
      </c>
      <c r="J44">
        <v>0</v>
      </c>
      <c r="K44" t="s">
        <v>43</v>
      </c>
      <c r="L44" t="s">
        <v>18</v>
      </c>
      <c r="M44" t="s">
        <v>19</v>
      </c>
      <c r="N44">
        <v>40</v>
      </c>
      <c r="O44" t="s">
        <v>20</v>
      </c>
      <c r="S44" s="19" t="s">
        <v>21</v>
      </c>
      <c r="T44" s="25">
        <f>COUNTIF($C$2:$C$1027,$S44)</f>
        <v>525</v>
      </c>
      <c r="U44" s="25">
        <f>COUNTIFS($O$2:$O$1027,"=Yes",$C$2:$C$1027,S44)</f>
        <v>252</v>
      </c>
      <c r="V44" s="26">
        <f>($U44/$T44) * 100</f>
        <v>48</v>
      </c>
    </row>
    <row r="45" spans="1:22" x14ac:dyDescent="0.25">
      <c r="A45">
        <v>44</v>
      </c>
      <c r="B45" t="s">
        <v>13</v>
      </c>
      <c r="C45" t="s">
        <v>14</v>
      </c>
      <c r="D45">
        <v>170000</v>
      </c>
      <c r="E45">
        <v>4</v>
      </c>
      <c r="F45" s="2" t="s">
        <v>45</v>
      </c>
      <c r="G45" t="s">
        <v>22</v>
      </c>
      <c r="H45" t="s">
        <v>24</v>
      </c>
      <c r="I45" t="s">
        <v>20</v>
      </c>
      <c r="J45">
        <v>3</v>
      </c>
      <c r="K45" t="s">
        <v>44</v>
      </c>
      <c r="L45" t="s">
        <v>27</v>
      </c>
      <c r="M45" t="s">
        <v>19</v>
      </c>
      <c r="N45">
        <v>48</v>
      </c>
      <c r="O45" t="s">
        <v>17</v>
      </c>
    </row>
    <row r="46" spans="1:22" x14ac:dyDescent="0.25">
      <c r="A46">
        <v>45</v>
      </c>
      <c r="B46" t="s">
        <v>13</v>
      </c>
      <c r="C46" t="s">
        <v>14</v>
      </c>
      <c r="D46">
        <v>20000</v>
      </c>
      <c r="E46">
        <v>3</v>
      </c>
      <c r="F46" s="2" t="s">
        <v>45</v>
      </c>
      <c r="G46" t="s">
        <v>31</v>
      </c>
      <c r="H46" t="s">
        <v>29</v>
      </c>
      <c r="I46" t="s">
        <v>17</v>
      </c>
      <c r="J46">
        <v>0</v>
      </c>
      <c r="K46" t="s">
        <v>43</v>
      </c>
      <c r="L46" t="s">
        <v>18</v>
      </c>
      <c r="M46" t="s">
        <v>19</v>
      </c>
      <c r="N46">
        <v>41</v>
      </c>
      <c r="O46" t="s">
        <v>17</v>
      </c>
    </row>
    <row r="47" spans="1:22" x14ac:dyDescent="0.25">
      <c r="A47">
        <v>46</v>
      </c>
      <c r="B47" t="s">
        <v>13</v>
      </c>
      <c r="C47" t="s">
        <v>14</v>
      </c>
      <c r="D47">
        <v>20000</v>
      </c>
      <c r="E47">
        <v>1</v>
      </c>
      <c r="F47" s="2" t="s">
        <v>45</v>
      </c>
      <c r="G47" t="s">
        <v>15</v>
      </c>
      <c r="H47" t="s">
        <v>23</v>
      </c>
      <c r="I47" t="s">
        <v>17</v>
      </c>
      <c r="J47">
        <v>0</v>
      </c>
      <c r="K47" t="s">
        <v>43</v>
      </c>
      <c r="L47" t="s">
        <v>18</v>
      </c>
      <c r="M47" t="s">
        <v>19</v>
      </c>
      <c r="N47">
        <v>66</v>
      </c>
      <c r="O47" t="s">
        <v>17</v>
      </c>
    </row>
    <row r="48" spans="1:22" x14ac:dyDescent="0.25">
      <c r="A48">
        <v>47</v>
      </c>
      <c r="B48" t="s">
        <v>13</v>
      </c>
      <c r="C48" t="s">
        <v>14</v>
      </c>
      <c r="D48">
        <v>60000</v>
      </c>
      <c r="E48">
        <v>1</v>
      </c>
      <c r="F48" s="2" t="s">
        <v>45</v>
      </c>
      <c r="G48" t="s">
        <v>22</v>
      </c>
      <c r="H48" t="s">
        <v>16</v>
      </c>
      <c r="I48" t="s">
        <v>17</v>
      </c>
      <c r="J48">
        <v>1</v>
      </c>
      <c r="K48" t="s">
        <v>44</v>
      </c>
      <c r="L48" t="s">
        <v>27</v>
      </c>
      <c r="M48" t="s">
        <v>28</v>
      </c>
      <c r="N48">
        <v>46</v>
      </c>
      <c r="O48" t="s">
        <v>17</v>
      </c>
    </row>
    <row r="49" spans="1:22" x14ac:dyDescent="0.25">
      <c r="A49">
        <v>48</v>
      </c>
      <c r="B49" t="s">
        <v>26</v>
      </c>
      <c r="C49" t="s">
        <v>14</v>
      </c>
      <c r="D49">
        <v>40000</v>
      </c>
      <c r="E49">
        <v>2</v>
      </c>
      <c r="F49" s="2" t="s">
        <v>45</v>
      </c>
      <c r="G49" t="s">
        <v>22</v>
      </c>
      <c r="H49" t="s">
        <v>16</v>
      </c>
      <c r="I49" t="s">
        <v>17</v>
      </c>
      <c r="J49">
        <v>2</v>
      </c>
      <c r="K49" t="s">
        <v>44</v>
      </c>
      <c r="L49" t="s">
        <v>27</v>
      </c>
      <c r="M49" t="s">
        <v>28</v>
      </c>
      <c r="N49">
        <v>52</v>
      </c>
      <c r="O49" t="s">
        <v>17</v>
      </c>
    </row>
    <row r="50" spans="1:22" x14ac:dyDescent="0.25">
      <c r="A50">
        <v>49</v>
      </c>
      <c r="B50" t="s">
        <v>13</v>
      </c>
      <c r="C50" t="s">
        <v>21</v>
      </c>
      <c r="D50">
        <v>30000</v>
      </c>
      <c r="E50">
        <v>2</v>
      </c>
      <c r="F50" s="2" t="s">
        <v>45</v>
      </c>
      <c r="G50" t="s">
        <v>22</v>
      </c>
      <c r="H50" t="s">
        <v>23</v>
      </c>
      <c r="I50" t="s">
        <v>20</v>
      </c>
      <c r="J50">
        <v>2</v>
      </c>
      <c r="K50" t="s">
        <v>44</v>
      </c>
      <c r="L50" t="s">
        <v>18</v>
      </c>
      <c r="M50" t="s">
        <v>19</v>
      </c>
      <c r="N50">
        <v>42</v>
      </c>
      <c r="O50" t="s">
        <v>20</v>
      </c>
    </row>
    <row r="51" spans="1:22" x14ac:dyDescent="0.25">
      <c r="A51">
        <v>50</v>
      </c>
      <c r="B51" t="s">
        <v>26</v>
      </c>
      <c r="C51" t="s">
        <v>21</v>
      </c>
      <c r="D51">
        <v>40000</v>
      </c>
      <c r="E51">
        <v>0</v>
      </c>
      <c r="F51" s="2" t="s">
        <v>46</v>
      </c>
      <c r="G51" t="s">
        <v>15</v>
      </c>
      <c r="H51" t="s">
        <v>23</v>
      </c>
      <c r="I51" t="s">
        <v>17</v>
      </c>
      <c r="J51">
        <v>0</v>
      </c>
      <c r="K51" t="s">
        <v>43</v>
      </c>
      <c r="L51" t="s">
        <v>18</v>
      </c>
      <c r="M51" t="s">
        <v>19</v>
      </c>
      <c r="N51">
        <v>39</v>
      </c>
      <c r="O51" t="s">
        <v>17</v>
      </c>
    </row>
    <row r="52" spans="1:22" x14ac:dyDescent="0.25">
      <c r="A52">
        <v>51</v>
      </c>
      <c r="B52" t="s">
        <v>26</v>
      </c>
      <c r="C52" t="s">
        <v>14</v>
      </c>
      <c r="D52">
        <v>30000</v>
      </c>
      <c r="E52">
        <v>0</v>
      </c>
      <c r="F52" s="2" t="s">
        <v>46</v>
      </c>
      <c r="G52" t="s">
        <v>22</v>
      </c>
      <c r="H52" t="s">
        <v>23</v>
      </c>
      <c r="I52" t="s">
        <v>20</v>
      </c>
      <c r="J52">
        <v>1</v>
      </c>
      <c r="K52" t="s">
        <v>44</v>
      </c>
      <c r="L52" t="s">
        <v>18</v>
      </c>
      <c r="M52" t="s">
        <v>19</v>
      </c>
      <c r="N52">
        <v>28</v>
      </c>
      <c r="O52" t="s">
        <v>20</v>
      </c>
    </row>
    <row r="53" spans="1:22" x14ac:dyDescent="0.25">
      <c r="A53">
        <v>52</v>
      </c>
      <c r="B53" t="s">
        <v>26</v>
      </c>
      <c r="C53" t="s">
        <v>21</v>
      </c>
      <c r="D53">
        <v>80000</v>
      </c>
      <c r="E53">
        <v>0</v>
      </c>
      <c r="F53" s="2" t="s">
        <v>46</v>
      </c>
      <c r="G53" t="s">
        <v>15</v>
      </c>
      <c r="H53" t="s">
        <v>24</v>
      </c>
      <c r="I53" t="s">
        <v>20</v>
      </c>
      <c r="J53">
        <v>4</v>
      </c>
      <c r="K53" t="s">
        <v>44</v>
      </c>
      <c r="L53" t="s">
        <v>34</v>
      </c>
      <c r="M53" t="s">
        <v>28</v>
      </c>
      <c r="N53">
        <v>35</v>
      </c>
      <c r="O53" t="s">
        <v>20</v>
      </c>
    </row>
    <row r="54" spans="1:22" x14ac:dyDescent="0.25">
      <c r="A54">
        <v>53</v>
      </c>
      <c r="B54" t="s">
        <v>13</v>
      </c>
      <c r="C54" t="s">
        <v>14</v>
      </c>
      <c r="D54">
        <v>20000</v>
      </c>
      <c r="E54">
        <v>1</v>
      </c>
      <c r="F54" s="2" t="s">
        <v>45</v>
      </c>
      <c r="G54" t="s">
        <v>15</v>
      </c>
      <c r="H54" t="s">
        <v>23</v>
      </c>
      <c r="I54" t="s">
        <v>17</v>
      </c>
      <c r="J54">
        <v>0</v>
      </c>
      <c r="K54" t="s">
        <v>43</v>
      </c>
      <c r="L54" t="s">
        <v>18</v>
      </c>
      <c r="M54" t="s">
        <v>19</v>
      </c>
      <c r="N54">
        <v>65</v>
      </c>
      <c r="O54" t="s">
        <v>20</v>
      </c>
    </row>
    <row r="55" spans="1:22" x14ac:dyDescent="0.25">
      <c r="A55">
        <v>54</v>
      </c>
      <c r="B55" t="s">
        <v>26</v>
      </c>
      <c r="C55" t="s">
        <v>14</v>
      </c>
      <c r="D55">
        <v>90000</v>
      </c>
      <c r="E55">
        <v>4</v>
      </c>
      <c r="F55" s="2" t="s">
        <v>45</v>
      </c>
      <c r="G55" t="s">
        <v>31</v>
      </c>
      <c r="H55" t="s">
        <v>32</v>
      </c>
      <c r="I55" t="s">
        <v>20</v>
      </c>
      <c r="J55">
        <v>3</v>
      </c>
      <c r="K55" t="s">
        <v>44</v>
      </c>
      <c r="L55" t="s">
        <v>27</v>
      </c>
      <c r="M55" t="s">
        <v>19</v>
      </c>
      <c r="N55">
        <v>56</v>
      </c>
      <c r="O55" t="s">
        <v>20</v>
      </c>
    </row>
    <row r="56" spans="1:22" x14ac:dyDescent="0.25">
      <c r="A56">
        <v>55</v>
      </c>
      <c r="B56" t="s">
        <v>26</v>
      </c>
      <c r="C56" t="s">
        <v>14</v>
      </c>
      <c r="D56">
        <v>70000</v>
      </c>
      <c r="E56">
        <v>0</v>
      </c>
      <c r="F56" s="2" t="s">
        <v>46</v>
      </c>
      <c r="G56" t="s">
        <v>15</v>
      </c>
      <c r="H56" t="s">
        <v>24</v>
      </c>
      <c r="I56" t="s">
        <v>20</v>
      </c>
      <c r="J56">
        <v>1</v>
      </c>
      <c r="K56" t="s">
        <v>44</v>
      </c>
      <c r="L56" t="s">
        <v>27</v>
      </c>
      <c r="M56" t="s">
        <v>28</v>
      </c>
      <c r="N56">
        <v>42</v>
      </c>
      <c r="O56" t="s">
        <v>20</v>
      </c>
    </row>
    <row r="57" spans="1:22" x14ac:dyDescent="0.25">
      <c r="A57">
        <v>56</v>
      </c>
      <c r="B57" t="s">
        <v>13</v>
      </c>
      <c r="C57" t="s">
        <v>21</v>
      </c>
      <c r="D57">
        <v>80000</v>
      </c>
      <c r="E57">
        <v>4</v>
      </c>
      <c r="F57" s="2" t="s">
        <v>45</v>
      </c>
      <c r="G57" t="s">
        <v>31</v>
      </c>
      <c r="H57" t="s">
        <v>24</v>
      </c>
      <c r="I57" t="s">
        <v>17</v>
      </c>
      <c r="J57">
        <v>2</v>
      </c>
      <c r="K57" t="s">
        <v>44</v>
      </c>
      <c r="L57" t="s">
        <v>34</v>
      </c>
      <c r="M57" t="s">
        <v>19</v>
      </c>
      <c r="N57">
        <v>54</v>
      </c>
      <c r="O57" t="s">
        <v>20</v>
      </c>
    </row>
    <row r="58" spans="1:22" x14ac:dyDescent="0.25">
      <c r="A58">
        <v>57</v>
      </c>
      <c r="B58" t="s">
        <v>13</v>
      </c>
      <c r="C58" t="s">
        <v>21</v>
      </c>
      <c r="D58">
        <v>40000</v>
      </c>
      <c r="E58">
        <v>0</v>
      </c>
      <c r="F58" s="2" t="s">
        <v>46</v>
      </c>
      <c r="G58" t="s">
        <v>15</v>
      </c>
      <c r="H58" t="s">
        <v>23</v>
      </c>
      <c r="I58" t="s">
        <v>17</v>
      </c>
      <c r="J58">
        <v>0</v>
      </c>
      <c r="K58" t="s">
        <v>43</v>
      </c>
      <c r="L58" t="s">
        <v>18</v>
      </c>
      <c r="M58" t="s">
        <v>19</v>
      </c>
      <c r="N58">
        <v>38</v>
      </c>
      <c r="O58" t="s">
        <v>17</v>
      </c>
    </row>
    <row r="59" spans="1:22" x14ac:dyDescent="0.25">
      <c r="A59">
        <v>58</v>
      </c>
      <c r="B59" t="s">
        <v>13</v>
      </c>
      <c r="C59" t="s">
        <v>21</v>
      </c>
      <c r="D59">
        <v>130000</v>
      </c>
      <c r="E59">
        <v>4</v>
      </c>
      <c r="F59" s="2" t="s">
        <v>45</v>
      </c>
      <c r="G59" t="s">
        <v>22</v>
      </c>
      <c r="H59" t="s">
        <v>24</v>
      </c>
      <c r="I59" t="s">
        <v>20</v>
      </c>
      <c r="J59">
        <v>4</v>
      </c>
      <c r="K59" t="s">
        <v>44</v>
      </c>
      <c r="L59" t="s">
        <v>27</v>
      </c>
      <c r="M59" t="s">
        <v>19</v>
      </c>
      <c r="N59">
        <v>61</v>
      </c>
      <c r="O59" t="s">
        <v>17</v>
      </c>
    </row>
    <row r="60" spans="1:22" x14ac:dyDescent="0.25">
      <c r="A60">
        <v>59</v>
      </c>
      <c r="B60" t="s">
        <v>13</v>
      </c>
      <c r="C60" t="s">
        <v>14</v>
      </c>
      <c r="D60">
        <v>40000</v>
      </c>
      <c r="E60">
        <v>1</v>
      </c>
      <c r="F60" s="2" t="s">
        <v>45</v>
      </c>
      <c r="G60" t="s">
        <v>15</v>
      </c>
      <c r="H60" t="s">
        <v>16</v>
      </c>
      <c r="I60" t="s">
        <v>17</v>
      </c>
      <c r="J60">
        <v>0</v>
      </c>
      <c r="K60" t="s">
        <v>43</v>
      </c>
      <c r="L60" t="s">
        <v>18</v>
      </c>
      <c r="M60" t="s">
        <v>19</v>
      </c>
      <c r="N60">
        <v>43</v>
      </c>
      <c r="O60" t="s">
        <v>17</v>
      </c>
    </row>
    <row r="61" spans="1:22" x14ac:dyDescent="0.25">
      <c r="A61">
        <v>60</v>
      </c>
      <c r="B61" t="s">
        <v>13</v>
      </c>
      <c r="C61" t="s">
        <v>21</v>
      </c>
      <c r="D61">
        <v>60000</v>
      </c>
      <c r="E61">
        <v>2</v>
      </c>
      <c r="F61" s="2" t="s">
        <v>45</v>
      </c>
      <c r="G61" t="s">
        <v>15</v>
      </c>
      <c r="H61" t="s">
        <v>24</v>
      </c>
      <c r="I61" t="s">
        <v>17</v>
      </c>
      <c r="J61">
        <v>1</v>
      </c>
      <c r="K61" t="s">
        <v>44</v>
      </c>
      <c r="L61" t="s">
        <v>25</v>
      </c>
      <c r="M61" t="s">
        <v>28</v>
      </c>
      <c r="N61">
        <v>38</v>
      </c>
      <c r="O61" t="s">
        <v>17</v>
      </c>
    </row>
    <row r="62" spans="1:22" x14ac:dyDescent="0.25">
      <c r="A62">
        <v>61</v>
      </c>
      <c r="B62" t="s">
        <v>26</v>
      </c>
      <c r="C62" t="s">
        <v>14</v>
      </c>
      <c r="D62">
        <v>10000</v>
      </c>
      <c r="E62">
        <v>1</v>
      </c>
      <c r="F62" s="2" t="s">
        <v>45</v>
      </c>
      <c r="G62" t="s">
        <v>31</v>
      </c>
      <c r="H62" t="s">
        <v>29</v>
      </c>
      <c r="I62" t="s">
        <v>20</v>
      </c>
      <c r="J62">
        <v>1</v>
      </c>
      <c r="K62" t="s">
        <v>44</v>
      </c>
      <c r="L62" t="s">
        <v>30</v>
      </c>
      <c r="M62" t="s">
        <v>19</v>
      </c>
      <c r="N62">
        <v>45</v>
      </c>
      <c r="O62" t="s">
        <v>20</v>
      </c>
      <c r="S62" s="21" t="s">
        <v>1</v>
      </c>
      <c r="T62" s="24" t="s">
        <v>56</v>
      </c>
      <c r="U62" s="24" t="s">
        <v>57</v>
      </c>
      <c r="V62" s="20" t="s">
        <v>51</v>
      </c>
    </row>
    <row r="63" spans="1:22" x14ac:dyDescent="0.25">
      <c r="A63">
        <v>62</v>
      </c>
      <c r="B63" t="s">
        <v>26</v>
      </c>
      <c r="C63" t="s">
        <v>14</v>
      </c>
      <c r="D63">
        <v>10000</v>
      </c>
      <c r="E63">
        <v>2</v>
      </c>
      <c r="F63" s="2" t="s">
        <v>45</v>
      </c>
      <c r="G63" t="s">
        <v>31</v>
      </c>
      <c r="H63" t="s">
        <v>29</v>
      </c>
      <c r="I63" t="s">
        <v>17</v>
      </c>
      <c r="J63">
        <v>0</v>
      </c>
      <c r="K63" t="s">
        <v>43</v>
      </c>
      <c r="L63" t="s">
        <v>18</v>
      </c>
      <c r="M63" t="s">
        <v>19</v>
      </c>
      <c r="N63">
        <v>35</v>
      </c>
      <c r="O63" t="s">
        <v>20</v>
      </c>
      <c r="S63" s="22" t="s">
        <v>13</v>
      </c>
      <c r="T63" s="8">
        <f>COUNTIF($B$2:$B$1027,$S63)</f>
        <v>549</v>
      </c>
      <c r="U63" s="8">
        <f>COUNTIFS($O$2:$O$1027,"=Yes",$B$2:$B$1027,$S63)</f>
        <v>236</v>
      </c>
      <c r="V63" s="23">
        <f>($U63/$T63) * 100</f>
        <v>42.987249544626593</v>
      </c>
    </row>
    <row r="64" spans="1:22" x14ac:dyDescent="0.25">
      <c r="A64">
        <v>63</v>
      </c>
      <c r="B64" t="s">
        <v>13</v>
      </c>
      <c r="C64" t="s">
        <v>21</v>
      </c>
      <c r="D64">
        <v>40000</v>
      </c>
      <c r="E64">
        <v>2</v>
      </c>
      <c r="F64" s="2" t="s">
        <v>45</v>
      </c>
      <c r="G64" t="s">
        <v>15</v>
      </c>
      <c r="H64" t="s">
        <v>32</v>
      </c>
      <c r="I64" t="s">
        <v>17</v>
      </c>
      <c r="J64">
        <v>1</v>
      </c>
      <c r="K64" t="s">
        <v>44</v>
      </c>
      <c r="L64" t="s">
        <v>18</v>
      </c>
      <c r="M64" t="s">
        <v>28</v>
      </c>
      <c r="N64">
        <v>52</v>
      </c>
      <c r="O64" t="s">
        <v>17</v>
      </c>
      <c r="S64" s="19" t="s">
        <v>26</v>
      </c>
      <c r="T64" s="25">
        <f>COUNTIF($B$2:$B$1027,$S64)</f>
        <v>477</v>
      </c>
      <c r="U64" s="25">
        <f>COUNTIFS($O$2:$O$1027,"=Yes",$B$2:$B$1027,$S64)</f>
        <v>259</v>
      </c>
      <c r="V64" s="26">
        <f>($U64/$T64) * 100</f>
        <v>54.297693920335433</v>
      </c>
    </row>
    <row r="65" spans="1:15" x14ac:dyDescent="0.25">
      <c r="A65">
        <v>64</v>
      </c>
      <c r="B65" t="s">
        <v>26</v>
      </c>
      <c r="C65" t="s">
        <v>21</v>
      </c>
      <c r="D65">
        <v>60000</v>
      </c>
      <c r="E65">
        <v>4</v>
      </c>
      <c r="F65" s="2" t="s">
        <v>45</v>
      </c>
      <c r="G65" t="s">
        <v>15</v>
      </c>
      <c r="H65" t="s">
        <v>24</v>
      </c>
      <c r="I65" t="s">
        <v>17</v>
      </c>
      <c r="J65">
        <v>3</v>
      </c>
      <c r="K65" t="s">
        <v>44</v>
      </c>
      <c r="L65" t="s">
        <v>34</v>
      </c>
      <c r="M65" t="s">
        <v>28</v>
      </c>
      <c r="N65">
        <v>41</v>
      </c>
      <c r="O65" t="s">
        <v>20</v>
      </c>
    </row>
    <row r="66" spans="1:15" x14ac:dyDescent="0.25">
      <c r="A66">
        <v>65</v>
      </c>
      <c r="B66" t="s">
        <v>13</v>
      </c>
      <c r="C66" t="s">
        <v>14</v>
      </c>
      <c r="D66">
        <v>30000</v>
      </c>
      <c r="E66">
        <v>1</v>
      </c>
      <c r="F66" s="2" t="s">
        <v>45</v>
      </c>
      <c r="G66" t="s">
        <v>15</v>
      </c>
      <c r="H66" t="s">
        <v>23</v>
      </c>
      <c r="I66" t="s">
        <v>17</v>
      </c>
      <c r="J66">
        <v>0</v>
      </c>
      <c r="K66" t="s">
        <v>43</v>
      </c>
      <c r="L66" t="s">
        <v>18</v>
      </c>
      <c r="M66" t="s">
        <v>19</v>
      </c>
      <c r="N66">
        <v>37</v>
      </c>
      <c r="O66" t="s">
        <v>17</v>
      </c>
    </row>
    <row r="67" spans="1:15" x14ac:dyDescent="0.25">
      <c r="A67">
        <v>66</v>
      </c>
      <c r="B67" t="s">
        <v>26</v>
      </c>
      <c r="C67" t="s">
        <v>21</v>
      </c>
      <c r="D67">
        <v>30000</v>
      </c>
      <c r="E67">
        <v>2</v>
      </c>
      <c r="F67" s="2" t="s">
        <v>45</v>
      </c>
      <c r="G67" t="s">
        <v>22</v>
      </c>
      <c r="H67" t="s">
        <v>23</v>
      </c>
      <c r="I67" t="s">
        <v>17</v>
      </c>
      <c r="J67">
        <v>2</v>
      </c>
      <c r="K67" t="s">
        <v>44</v>
      </c>
      <c r="L67" t="s">
        <v>27</v>
      </c>
      <c r="M67" t="s">
        <v>28</v>
      </c>
      <c r="N67">
        <v>68</v>
      </c>
      <c r="O67" t="s">
        <v>20</v>
      </c>
    </row>
    <row r="68" spans="1:15" x14ac:dyDescent="0.25">
      <c r="A68">
        <v>67</v>
      </c>
      <c r="B68" t="s">
        <v>13</v>
      </c>
      <c r="C68" t="s">
        <v>14</v>
      </c>
      <c r="D68">
        <v>40000</v>
      </c>
      <c r="E68">
        <v>0</v>
      </c>
      <c r="F68" s="2" t="s">
        <v>46</v>
      </c>
      <c r="G68" t="s">
        <v>35</v>
      </c>
      <c r="H68" t="s">
        <v>23</v>
      </c>
      <c r="I68" t="s">
        <v>17</v>
      </c>
      <c r="J68">
        <v>0</v>
      </c>
      <c r="K68" t="s">
        <v>43</v>
      </c>
      <c r="L68" t="s">
        <v>18</v>
      </c>
      <c r="M68" t="s">
        <v>19</v>
      </c>
      <c r="N68">
        <v>37</v>
      </c>
      <c r="O68" t="s">
        <v>17</v>
      </c>
    </row>
    <row r="69" spans="1:15" x14ac:dyDescent="0.25">
      <c r="A69">
        <v>68</v>
      </c>
      <c r="B69" t="s">
        <v>26</v>
      </c>
      <c r="C69" t="s">
        <v>21</v>
      </c>
      <c r="D69">
        <v>30000</v>
      </c>
      <c r="E69">
        <v>0</v>
      </c>
      <c r="F69" s="2" t="s">
        <v>46</v>
      </c>
      <c r="G69" t="s">
        <v>31</v>
      </c>
      <c r="H69" t="s">
        <v>29</v>
      </c>
      <c r="I69" t="s">
        <v>17</v>
      </c>
      <c r="J69">
        <v>1</v>
      </c>
      <c r="K69" t="s">
        <v>44</v>
      </c>
      <c r="L69" t="s">
        <v>25</v>
      </c>
      <c r="M69" t="s">
        <v>19</v>
      </c>
      <c r="N69">
        <v>33</v>
      </c>
      <c r="O69" t="s">
        <v>17</v>
      </c>
    </row>
    <row r="70" spans="1:15" x14ac:dyDescent="0.25">
      <c r="A70">
        <v>69</v>
      </c>
      <c r="B70" t="s">
        <v>26</v>
      </c>
      <c r="C70" t="s">
        <v>14</v>
      </c>
      <c r="D70">
        <v>20000</v>
      </c>
      <c r="E70">
        <v>4</v>
      </c>
      <c r="F70" s="2" t="s">
        <v>45</v>
      </c>
      <c r="G70" t="s">
        <v>31</v>
      </c>
      <c r="H70" t="s">
        <v>29</v>
      </c>
      <c r="I70" t="s">
        <v>17</v>
      </c>
      <c r="J70">
        <v>1</v>
      </c>
      <c r="K70" t="s">
        <v>44</v>
      </c>
      <c r="L70" t="s">
        <v>18</v>
      </c>
      <c r="M70" t="s">
        <v>19</v>
      </c>
      <c r="N70">
        <v>43</v>
      </c>
      <c r="O70" t="s">
        <v>17</v>
      </c>
    </row>
    <row r="71" spans="1:15" x14ac:dyDescent="0.25">
      <c r="A71">
        <v>70</v>
      </c>
      <c r="B71" t="s">
        <v>13</v>
      </c>
      <c r="C71" t="s">
        <v>14</v>
      </c>
      <c r="D71">
        <v>10000</v>
      </c>
      <c r="E71">
        <v>0</v>
      </c>
      <c r="F71" s="2" t="s">
        <v>46</v>
      </c>
      <c r="G71" t="s">
        <v>33</v>
      </c>
      <c r="H71" t="s">
        <v>29</v>
      </c>
      <c r="I71" t="s">
        <v>20</v>
      </c>
      <c r="J71">
        <v>2</v>
      </c>
      <c r="K71" t="s">
        <v>44</v>
      </c>
      <c r="L71" t="s">
        <v>18</v>
      </c>
      <c r="M71" t="s">
        <v>19</v>
      </c>
      <c r="N71">
        <v>30</v>
      </c>
      <c r="O71" t="s">
        <v>20</v>
      </c>
    </row>
    <row r="72" spans="1:15" x14ac:dyDescent="0.25">
      <c r="A72">
        <v>71</v>
      </c>
      <c r="B72" t="s">
        <v>13</v>
      </c>
      <c r="C72" t="s">
        <v>21</v>
      </c>
      <c r="D72">
        <v>120000</v>
      </c>
      <c r="E72">
        <v>0</v>
      </c>
      <c r="F72" s="2" t="s">
        <v>46</v>
      </c>
      <c r="G72" t="s">
        <v>33</v>
      </c>
      <c r="H72" t="s">
        <v>24</v>
      </c>
      <c r="I72" t="s">
        <v>17</v>
      </c>
      <c r="J72">
        <v>4</v>
      </c>
      <c r="K72" t="s">
        <v>44</v>
      </c>
      <c r="L72" t="s">
        <v>34</v>
      </c>
      <c r="M72" t="s">
        <v>28</v>
      </c>
      <c r="N72">
        <v>36</v>
      </c>
      <c r="O72" t="s">
        <v>17</v>
      </c>
    </row>
    <row r="73" spans="1:15" x14ac:dyDescent="0.25">
      <c r="A73">
        <v>72</v>
      </c>
      <c r="B73" t="s">
        <v>26</v>
      </c>
      <c r="C73" t="s">
        <v>14</v>
      </c>
      <c r="D73">
        <v>10000</v>
      </c>
      <c r="E73">
        <v>0</v>
      </c>
      <c r="F73" s="2" t="s">
        <v>46</v>
      </c>
      <c r="G73" t="s">
        <v>33</v>
      </c>
      <c r="H73" t="s">
        <v>29</v>
      </c>
      <c r="I73" t="s">
        <v>20</v>
      </c>
      <c r="J73">
        <v>2</v>
      </c>
      <c r="K73" t="s">
        <v>44</v>
      </c>
      <c r="L73" t="s">
        <v>18</v>
      </c>
      <c r="M73" t="s">
        <v>19</v>
      </c>
      <c r="N73">
        <v>35</v>
      </c>
      <c r="O73" t="s">
        <v>20</v>
      </c>
    </row>
    <row r="74" spans="1:15" x14ac:dyDescent="0.25">
      <c r="A74">
        <v>73</v>
      </c>
      <c r="B74" t="s">
        <v>13</v>
      </c>
      <c r="C74" t="s">
        <v>14</v>
      </c>
      <c r="D74">
        <v>130000</v>
      </c>
      <c r="E74">
        <v>3</v>
      </c>
      <c r="F74" s="2" t="s">
        <v>45</v>
      </c>
      <c r="G74" t="s">
        <v>31</v>
      </c>
      <c r="H74" t="s">
        <v>24</v>
      </c>
      <c r="I74" t="s">
        <v>17</v>
      </c>
      <c r="J74">
        <v>4</v>
      </c>
      <c r="K74" t="s">
        <v>44</v>
      </c>
      <c r="L74" t="s">
        <v>18</v>
      </c>
      <c r="M74" t="s">
        <v>19</v>
      </c>
      <c r="N74">
        <v>52</v>
      </c>
      <c r="O74" t="s">
        <v>20</v>
      </c>
    </row>
    <row r="75" spans="1:15" x14ac:dyDescent="0.25">
      <c r="A75">
        <v>74</v>
      </c>
      <c r="B75" t="s">
        <v>26</v>
      </c>
      <c r="C75" t="s">
        <v>14</v>
      </c>
      <c r="D75">
        <v>20000</v>
      </c>
      <c r="E75">
        <v>0</v>
      </c>
      <c r="F75" s="2" t="s">
        <v>46</v>
      </c>
      <c r="G75" t="s">
        <v>22</v>
      </c>
      <c r="H75" t="s">
        <v>29</v>
      </c>
      <c r="I75" t="s">
        <v>20</v>
      </c>
      <c r="J75">
        <v>1</v>
      </c>
      <c r="K75" t="s">
        <v>44</v>
      </c>
      <c r="L75" t="s">
        <v>25</v>
      </c>
      <c r="M75" t="s">
        <v>19</v>
      </c>
      <c r="N75">
        <v>36</v>
      </c>
      <c r="O75" t="s">
        <v>17</v>
      </c>
    </row>
    <row r="76" spans="1:15" x14ac:dyDescent="0.25">
      <c r="A76">
        <v>75</v>
      </c>
      <c r="B76" t="s">
        <v>13</v>
      </c>
      <c r="C76" t="s">
        <v>14</v>
      </c>
      <c r="D76">
        <v>20000</v>
      </c>
      <c r="E76">
        <v>3</v>
      </c>
      <c r="F76" s="2" t="s">
        <v>45</v>
      </c>
      <c r="G76" t="s">
        <v>31</v>
      </c>
      <c r="H76" t="s">
        <v>16</v>
      </c>
      <c r="I76" t="s">
        <v>20</v>
      </c>
      <c r="J76">
        <v>2</v>
      </c>
      <c r="K76" t="s">
        <v>44</v>
      </c>
      <c r="L76" t="s">
        <v>30</v>
      </c>
      <c r="M76" t="s">
        <v>28</v>
      </c>
      <c r="N76">
        <v>62</v>
      </c>
      <c r="O76" t="s">
        <v>20</v>
      </c>
    </row>
    <row r="77" spans="1:15" x14ac:dyDescent="0.25">
      <c r="A77">
        <v>76</v>
      </c>
      <c r="B77" t="s">
        <v>26</v>
      </c>
      <c r="C77" t="s">
        <v>14</v>
      </c>
      <c r="D77">
        <v>130000</v>
      </c>
      <c r="E77">
        <v>4</v>
      </c>
      <c r="F77" s="2" t="s">
        <v>45</v>
      </c>
      <c r="G77" t="s">
        <v>31</v>
      </c>
      <c r="H77" t="s">
        <v>32</v>
      </c>
      <c r="I77" t="s">
        <v>17</v>
      </c>
      <c r="J77">
        <v>4</v>
      </c>
      <c r="K77" t="s">
        <v>44</v>
      </c>
      <c r="L77" t="s">
        <v>18</v>
      </c>
      <c r="M77" t="s">
        <v>28</v>
      </c>
      <c r="N77">
        <v>31</v>
      </c>
      <c r="O77" t="s">
        <v>20</v>
      </c>
    </row>
    <row r="78" spans="1:15" x14ac:dyDescent="0.25">
      <c r="A78">
        <v>77</v>
      </c>
      <c r="B78" t="s">
        <v>26</v>
      </c>
      <c r="C78" t="s">
        <v>14</v>
      </c>
      <c r="D78">
        <v>20000</v>
      </c>
      <c r="E78">
        <v>0</v>
      </c>
      <c r="F78" s="2" t="s">
        <v>46</v>
      </c>
      <c r="G78" t="s">
        <v>33</v>
      </c>
      <c r="H78" t="s">
        <v>29</v>
      </c>
      <c r="I78" t="s">
        <v>20</v>
      </c>
      <c r="J78">
        <v>2</v>
      </c>
      <c r="K78" t="s">
        <v>44</v>
      </c>
      <c r="L78" t="s">
        <v>30</v>
      </c>
      <c r="M78" t="s">
        <v>19</v>
      </c>
      <c r="N78">
        <v>26</v>
      </c>
      <c r="O78" t="s">
        <v>20</v>
      </c>
    </row>
    <row r="79" spans="1:15" x14ac:dyDescent="0.25">
      <c r="A79">
        <v>78</v>
      </c>
      <c r="B79" t="s">
        <v>13</v>
      </c>
      <c r="C79" t="s">
        <v>21</v>
      </c>
      <c r="D79">
        <v>80000</v>
      </c>
      <c r="E79">
        <v>0</v>
      </c>
      <c r="F79" s="2" t="s">
        <v>46</v>
      </c>
      <c r="G79" t="s">
        <v>15</v>
      </c>
      <c r="H79" t="s">
        <v>24</v>
      </c>
      <c r="I79" t="s">
        <v>17</v>
      </c>
      <c r="J79">
        <v>2</v>
      </c>
      <c r="K79" t="s">
        <v>44</v>
      </c>
      <c r="L79" t="s">
        <v>34</v>
      </c>
      <c r="M79" t="s">
        <v>28</v>
      </c>
      <c r="N79">
        <v>29</v>
      </c>
      <c r="O79" t="s">
        <v>17</v>
      </c>
    </row>
    <row r="80" spans="1:15" x14ac:dyDescent="0.25">
      <c r="A80">
        <v>79</v>
      </c>
      <c r="B80" t="s">
        <v>13</v>
      </c>
      <c r="C80" t="s">
        <v>21</v>
      </c>
      <c r="D80">
        <v>80000</v>
      </c>
      <c r="E80">
        <v>2</v>
      </c>
      <c r="F80" s="2" t="s">
        <v>45</v>
      </c>
      <c r="G80" t="s">
        <v>31</v>
      </c>
      <c r="H80" t="s">
        <v>16</v>
      </c>
      <c r="I80" t="s">
        <v>20</v>
      </c>
      <c r="J80">
        <v>2</v>
      </c>
      <c r="K80" t="s">
        <v>44</v>
      </c>
      <c r="L80" t="s">
        <v>30</v>
      </c>
      <c r="M80" t="s">
        <v>28</v>
      </c>
      <c r="N80">
        <v>50</v>
      </c>
      <c r="O80" t="s">
        <v>17</v>
      </c>
    </row>
    <row r="81" spans="1:15" x14ac:dyDescent="0.25">
      <c r="A81">
        <v>80</v>
      </c>
      <c r="B81" t="s">
        <v>26</v>
      </c>
      <c r="C81" t="s">
        <v>21</v>
      </c>
      <c r="D81">
        <v>40000</v>
      </c>
      <c r="E81">
        <v>2</v>
      </c>
      <c r="F81" s="2" t="s">
        <v>45</v>
      </c>
      <c r="G81" t="s">
        <v>15</v>
      </c>
      <c r="H81" t="s">
        <v>32</v>
      </c>
      <c r="I81" t="s">
        <v>17</v>
      </c>
      <c r="J81">
        <v>2</v>
      </c>
      <c r="K81" t="s">
        <v>44</v>
      </c>
      <c r="L81" t="s">
        <v>27</v>
      </c>
      <c r="M81" t="s">
        <v>28</v>
      </c>
      <c r="N81">
        <v>63</v>
      </c>
      <c r="O81" t="s">
        <v>17</v>
      </c>
    </row>
    <row r="82" spans="1:15" x14ac:dyDescent="0.25">
      <c r="A82">
        <v>81</v>
      </c>
      <c r="B82" t="s">
        <v>13</v>
      </c>
      <c r="C82" t="s">
        <v>14</v>
      </c>
      <c r="D82">
        <v>30000</v>
      </c>
      <c r="E82">
        <v>4</v>
      </c>
      <c r="F82" s="2" t="s">
        <v>45</v>
      </c>
      <c r="G82" t="s">
        <v>35</v>
      </c>
      <c r="H82" t="s">
        <v>23</v>
      </c>
      <c r="I82" t="s">
        <v>17</v>
      </c>
      <c r="J82">
        <v>0</v>
      </c>
      <c r="K82" t="s">
        <v>43</v>
      </c>
      <c r="L82" t="s">
        <v>18</v>
      </c>
      <c r="M82" t="s">
        <v>19</v>
      </c>
      <c r="N82">
        <v>45</v>
      </c>
      <c r="O82" t="s">
        <v>17</v>
      </c>
    </row>
    <row r="83" spans="1:15" x14ac:dyDescent="0.25">
      <c r="A83">
        <v>82</v>
      </c>
      <c r="B83" t="s">
        <v>26</v>
      </c>
      <c r="C83" t="s">
        <v>14</v>
      </c>
      <c r="D83">
        <v>10000</v>
      </c>
      <c r="E83">
        <v>4</v>
      </c>
      <c r="F83" s="2" t="s">
        <v>45</v>
      </c>
      <c r="G83" t="s">
        <v>33</v>
      </c>
      <c r="H83" t="s">
        <v>29</v>
      </c>
      <c r="I83" t="s">
        <v>17</v>
      </c>
      <c r="J83">
        <v>2</v>
      </c>
      <c r="K83" t="s">
        <v>44</v>
      </c>
      <c r="L83" t="s">
        <v>18</v>
      </c>
      <c r="M83" t="s">
        <v>19</v>
      </c>
      <c r="N83">
        <v>40</v>
      </c>
      <c r="O83" t="s">
        <v>20</v>
      </c>
    </row>
    <row r="84" spans="1:15" x14ac:dyDescent="0.25">
      <c r="A84">
        <v>83</v>
      </c>
      <c r="B84" t="s">
        <v>13</v>
      </c>
      <c r="C84" t="s">
        <v>21</v>
      </c>
      <c r="D84">
        <v>30000</v>
      </c>
      <c r="E84">
        <v>0</v>
      </c>
      <c r="F84" s="2" t="s">
        <v>46</v>
      </c>
      <c r="G84" t="s">
        <v>15</v>
      </c>
      <c r="H84" t="s">
        <v>23</v>
      </c>
      <c r="I84" t="s">
        <v>17</v>
      </c>
      <c r="J84">
        <v>0</v>
      </c>
      <c r="K84" t="s">
        <v>43</v>
      </c>
      <c r="L84" t="s">
        <v>18</v>
      </c>
      <c r="M84" t="s">
        <v>19</v>
      </c>
      <c r="N84">
        <v>47</v>
      </c>
      <c r="O84" t="s">
        <v>17</v>
      </c>
    </row>
    <row r="85" spans="1:15" x14ac:dyDescent="0.25">
      <c r="A85">
        <v>84</v>
      </c>
      <c r="B85" t="s">
        <v>26</v>
      </c>
      <c r="C85" t="s">
        <v>21</v>
      </c>
      <c r="D85">
        <v>20000</v>
      </c>
      <c r="E85">
        <v>0</v>
      </c>
      <c r="F85" s="2" t="s">
        <v>46</v>
      </c>
      <c r="G85" t="s">
        <v>31</v>
      </c>
      <c r="H85" t="s">
        <v>29</v>
      </c>
      <c r="I85" t="s">
        <v>20</v>
      </c>
      <c r="J85">
        <v>1</v>
      </c>
      <c r="K85" t="s">
        <v>44</v>
      </c>
      <c r="L85" t="s">
        <v>25</v>
      </c>
      <c r="M85" t="s">
        <v>19</v>
      </c>
      <c r="N85">
        <v>29</v>
      </c>
      <c r="O85" t="s">
        <v>20</v>
      </c>
    </row>
    <row r="86" spans="1:15" x14ac:dyDescent="0.25">
      <c r="A86">
        <v>85</v>
      </c>
      <c r="B86" t="s">
        <v>26</v>
      </c>
      <c r="C86" t="s">
        <v>21</v>
      </c>
      <c r="D86">
        <v>40000</v>
      </c>
      <c r="E86">
        <v>2</v>
      </c>
      <c r="F86" s="2" t="s">
        <v>45</v>
      </c>
      <c r="G86" t="s">
        <v>15</v>
      </c>
      <c r="H86" t="s">
        <v>32</v>
      </c>
      <c r="I86" t="s">
        <v>20</v>
      </c>
      <c r="J86">
        <v>1</v>
      </c>
      <c r="K86" t="s">
        <v>44</v>
      </c>
      <c r="L86" t="s">
        <v>27</v>
      </c>
      <c r="M86" t="s">
        <v>28</v>
      </c>
      <c r="N86">
        <v>52</v>
      </c>
      <c r="O86" t="s">
        <v>17</v>
      </c>
    </row>
    <row r="87" spans="1:15" x14ac:dyDescent="0.25">
      <c r="A87">
        <v>86</v>
      </c>
      <c r="B87" t="s">
        <v>26</v>
      </c>
      <c r="C87" t="s">
        <v>21</v>
      </c>
      <c r="D87">
        <v>10000</v>
      </c>
      <c r="E87">
        <v>0</v>
      </c>
      <c r="F87" s="2" t="s">
        <v>46</v>
      </c>
      <c r="G87" t="s">
        <v>22</v>
      </c>
      <c r="H87" t="s">
        <v>29</v>
      </c>
      <c r="I87" t="s">
        <v>17</v>
      </c>
      <c r="J87">
        <v>1</v>
      </c>
      <c r="K87" t="s">
        <v>44</v>
      </c>
      <c r="L87" t="s">
        <v>30</v>
      </c>
      <c r="M87" t="s">
        <v>28</v>
      </c>
      <c r="N87">
        <v>26</v>
      </c>
      <c r="O87" t="s">
        <v>17</v>
      </c>
    </row>
    <row r="88" spans="1:15" x14ac:dyDescent="0.25">
      <c r="A88">
        <v>87</v>
      </c>
      <c r="B88" t="s">
        <v>26</v>
      </c>
      <c r="C88" t="s">
        <v>21</v>
      </c>
      <c r="D88">
        <v>130000</v>
      </c>
      <c r="E88">
        <v>3</v>
      </c>
      <c r="F88" s="2" t="s">
        <v>45</v>
      </c>
      <c r="G88" t="s">
        <v>22</v>
      </c>
      <c r="H88" t="s">
        <v>24</v>
      </c>
      <c r="I88" t="s">
        <v>20</v>
      </c>
      <c r="J88">
        <v>3</v>
      </c>
      <c r="K88" t="s">
        <v>44</v>
      </c>
      <c r="L88" t="s">
        <v>18</v>
      </c>
      <c r="M88" t="s">
        <v>19</v>
      </c>
      <c r="N88">
        <v>51</v>
      </c>
      <c r="O88" t="s">
        <v>17</v>
      </c>
    </row>
    <row r="89" spans="1:15" x14ac:dyDescent="0.25">
      <c r="A89">
        <v>88</v>
      </c>
      <c r="B89" t="s">
        <v>13</v>
      </c>
      <c r="C89" t="s">
        <v>21</v>
      </c>
      <c r="D89">
        <v>80000</v>
      </c>
      <c r="E89">
        <v>5</v>
      </c>
      <c r="F89" s="2" t="s">
        <v>45</v>
      </c>
      <c r="G89" t="s">
        <v>15</v>
      </c>
      <c r="H89" t="s">
        <v>24</v>
      </c>
      <c r="I89" t="s">
        <v>17</v>
      </c>
      <c r="J89">
        <v>4</v>
      </c>
      <c r="K89" t="s">
        <v>44</v>
      </c>
      <c r="L89" t="s">
        <v>30</v>
      </c>
      <c r="M89" t="s">
        <v>28</v>
      </c>
      <c r="N89">
        <v>40</v>
      </c>
      <c r="O89" t="s">
        <v>20</v>
      </c>
    </row>
    <row r="90" spans="1:15" x14ac:dyDescent="0.25">
      <c r="A90">
        <v>89</v>
      </c>
      <c r="B90" t="s">
        <v>26</v>
      </c>
      <c r="C90" t="s">
        <v>21</v>
      </c>
      <c r="D90">
        <v>30000</v>
      </c>
      <c r="E90">
        <v>0</v>
      </c>
      <c r="F90" s="2" t="s">
        <v>46</v>
      </c>
      <c r="G90" t="s">
        <v>22</v>
      </c>
      <c r="H90" t="s">
        <v>23</v>
      </c>
      <c r="I90" t="s">
        <v>20</v>
      </c>
      <c r="J90">
        <v>1</v>
      </c>
      <c r="K90" t="s">
        <v>44</v>
      </c>
      <c r="L90" t="s">
        <v>25</v>
      </c>
      <c r="M90" t="s">
        <v>19</v>
      </c>
      <c r="N90">
        <v>29</v>
      </c>
      <c r="O90" t="s">
        <v>20</v>
      </c>
    </row>
    <row r="91" spans="1:15" x14ac:dyDescent="0.25">
      <c r="A91">
        <v>90</v>
      </c>
      <c r="B91" t="s">
        <v>13</v>
      </c>
      <c r="C91" t="s">
        <v>21</v>
      </c>
      <c r="D91">
        <v>20000</v>
      </c>
      <c r="E91">
        <v>1</v>
      </c>
      <c r="F91" s="2" t="s">
        <v>45</v>
      </c>
      <c r="G91" t="s">
        <v>31</v>
      </c>
      <c r="H91" t="s">
        <v>29</v>
      </c>
      <c r="I91" t="s">
        <v>20</v>
      </c>
      <c r="J91">
        <v>1</v>
      </c>
      <c r="K91" t="s">
        <v>44</v>
      </c>
      <c r="L91" t="s">
        <v>30</v>
      </c>
      <c r="M91" t="s">
        <v>19</v>
      </c>
      <c r="N91">
        <v>40</v>
      </c>
      <c r="O91" t="s">
        <v>17</v>
      </c>
    </row>
    <row r="92" spans="1:15" x14ac:dyDescent="0.25">
      <c r="A92">
        <v>91</v>
      </c>
      <c r="B92" t="s">
        <v>26</v>
      </c>
      <c r="C92" t="s">
        <v>14</v>
      </c>
      <c r="D92">
        <v>30000</v>
      </c>
      <c r="E92">
        <v>0</v>
      </c>
      <c r="F92" s="2" t="s">
        <v>46</v>
      </c>
      <c r="G92" t="s">
        <v>22</v>
      </c>
      <c r="H92" t="s">
        <v>23</v>
      </c>
      <c r="I92" t="s">
        <v>20</v>
      </c>
      <c r="J92">
        <v>1</v>
      </c>
      <c r="K92" t="s">
        <v>44</v>
      </c>
      <c r="L92" t="s">
        <v>18</v>
      </c>
      <c r="M92" t="s">
        <v>19</v>
      </c>
      <c r="N92">
        <v>29</v>
      </c>
      <c r="O92" t="s">
        <v>17</v>
      </c>
    </row>
    <row r="93" spans="1:15" x14ac:dyDescent="0.25">
      <c r="A93">
        <v>92</v>
      </c>
      <c r="B93" t="s">
        <v>26</v>
      </c>
      <c r="C93" t="s">
        <v>21</v>
      </c>
      <c r="D93">
        <v>30000</v>
      </c>
      <c r="E93">
        <v>0</v>
      </c>
      <c r="F93" s="2" t="s">
        <v>46</v>
      </c>
      <c r="G93" t="s">
        <v>22</v>
      </c>
      <c r="H93" t="s">
        <v>23</v>
      </c>
      <c r="I93" t="s">
        <v>20</v>
      </c>
      <c r="J93">
        <v>1</v>
      </c>
      <c r="K93" t="s">
        <v>44</v>
      </c>
      <c r="L93" t="s">
        <v>18</v>
      </c>
      <c r="M93" t="s">
        <v>19</v>
      </c>
      <c r="N93">
        <v>30</v>
      </c>
      <c r="O93" t="s">
        <v>17</v>
      </c>
    </row>
    <row r="94" spans="1:15" x14ac:dyDescent="0.25">
      <c r="A94">
        <v>93</v>
      </c>
      <c r="B94" t="s">
        <v>26</v>
      </c>
      <c r="C94" t="s">
        <v>14</v>
      </c>
      <c r="D94">
        <v>60000</v>
      </c>
      <c r="E94">
        <v>2</v>
      </c>
      <c r="F94" s="2" t="s">
        <v>45</v>
      </c>
      <c r="G94" t="s">
        <v>15</v>
      </c>
      <c r="H94" t="s">
        <v>24</v>
      </c>
      <c r="I94" t="s">
        <v>17</v>
      </c>
      <c r="J94">
        <v>1</v>
      </c>
      <c r="K94" t="s">
        <v>44</v>
      </c>
      <c r="L94" t="s">
        <v>25</v>
      </c>
      <c r="M94" t="s">
        <v>28</v>
      </c>
      <c r="N94">
        <v>37</v>
      </c>
      <c r="O94" t="s">
        <v>17</v>
      </c>
    </row>
    <row r="95" spans="1:15" x14ac:dyDescent="0.25">
      <c r="A95">
        <v>94</v>
      </c>
      <c r="B95" t="s">
        <v>26</v>
      </c>
      <c r="C95" t="s">
        <v>14</v>
      </c>
      <c r="D95">
        <v>30000</v>
      </c>
      <c r="E95">
        <v>0</v>
      </c>
      <c r="F95" s="2" t="s">
        <v>46</v>
      </c>
      <c r="G95" t="s">
        <v>22</v>
      </c>
      <c r="H95" t="s">
        <v>23</v>
      </c>
      <c r="I95" t="s">
        <v>20</v>
      </c>
      <c r="J95">
        <v>1</v>
      </c>
      <c r="K95" t="s">
        <v>44</v>
      </c>
      <c r="L95" t="s">
        <v>25</v>
      </c>
      <c r="M95" t="s">
        <v>19</v>
      </c>
      <c r="N95">
        <v>33</v>
      </c>
      <c r="O95" t="s">
        <v>20</v>
      </c>
    </row>
    <row r="96" spans="1:15" x14ac:dyDescent="0.25">
      <c r="A96">
        <v>95</v>
      </c>
      <c r="B96" t="s">
        <v>26</v>
      </c>
      <c r="C96" t="s">
        <v>14</v>
      </c>
      <c r="D96">
        <v>30000</v>
      </c>
      <c r="E96">
        <v>3</v>
      </c>
      <c r="F96" s="2" t="s">
        <v>45</v>
      </c>
      <c r="G96" t="s">
        <v>31</v>
      </c>
      <c r="H96" t="s">
        <v>16</v>
      </c>
      <c r="I96" t="s">
        <v>17</v>
      </c>
      <c r="J96">
        <v>2</v>
      </c>
      <c r="K96" t="s">
        <v>44</v>
      </c>
      <c r="L96" t="s">
        <v>27</v>
      </c>
      <c r="M96" t="s">
        <v>28</v>
      </c>
      <c r="N96">
        <v>55</v>
      </c>
      <c r="O96" t="s">
        <v>20</v>
      </c>
    </row>
    <row r="97" spans="1:15" x14ac:dyDescent="0.25">
      <c r="A97">
        <v>96</v>
      </c>
      <c r="B97" t="s">
        <v>26</v>
      </c>
      <c r="C97" t="s">
        <v>14</v>
      </c>
      <c r="D97">
        <v>90000</v>
      </c>
      <c r="E97">
        <v>5</v>
      </c>
      <c r="F97" s="2" t="s">
        <v>45</v>
      </c>
      <c r="G97" t="s">
        <v>22</v>
      </c>
      <c r="H97" t="s">
        <v>24</v>
      </c>
      <c r="I97" t="s">
        <v>17</v>
      </c>
      <c r="J97">
        <v>2</v>
      </c>
      <c r="K97" t="s">
        <v>44</v>
      </c>
      <c r="L97" t="s">
        <v>34</v>
      </c>
      <c r="M97" t="s">
        <v>19</v>
      </c>
      <c r="N97">
        <v>62</v>
      </c>
      <c r="O97" t="s">
        <v>20</v>
      </c>
    </row>
    <row r="98" spans="1:15" x14ac:dyDescent="0.25">
      <c r="A98">
        <v>97</v>
      </c>
      <c r="B98" t="s">
        <v>13</v>
      </c>
      <c r="C98" t="s">
        <v>21</v>
      </c>
      <c r="D98">
        <v>30000</v>
      </c>
      <c r="E98">
        <v>1</v>
      </c>
      <c r="F98" s="2" t="s">
        <v>45</v>
      </c>
      <c r="G98" t="s">
        <v>22</v>
      </c>
      <c r="H98" t="s">
        <v>23</v>
      </c>
      <c r="I98" t="s">
        <v>17</v>
      </c>
      <c r="J98">
        <v>1</v>
      </c>
      <c r="K98" t="s">
        <v>44</v>
      </c>
      <c r="L98" t="s">
        <v>18</v>
      </c>
      <c r="M98" t="s">
        <v>19</v>
      </c>
      <c r="N98">
        <v>43</v>
      </c>
      <c r="O98" t="s">
        <v>20</v>
      </c>
    </row>
    <row r="99" spans="1:15" x14ac:dyDescent="0.25">
      <c r="A99">
        <v>98</v>
      </c>
      <c r="B99" t="s">
        <v>13</v>
      </c>
      <c r="C99" t="s">
        <v>21</v>
      </c>
      <c r="D99">
        <v>40000</v>
      </c>
      <c r="E99">
        <v>1</v>
      </c>
      <c r="F99" s="2" t="s">
        <v>45</v>
      </c>
      <c r="G99" t="s">
        <v>15</v>
      </c>
      <c r="H99" t="s">
        <v>16</v>
      </c>
      <c r="I99" t="s">
        <v>17</v>
      </c>
      <c r="J99">
        <v>1</v>
      </c>
      <c r="K99" t="s">
        <v>44</v>
      </c>
      <c r="L99" t="s">
        <v>18</v>
      </c>
      <c r="M99" t="s">
        <v>19</v>
      </c>
      <c r="N99">
        <v>44</v>
      </c>
      <c r="O99" t="s">
        <v>17</v>
      </c>
    </row>
    <row r="100" spans="1:15" x14ac:dyDescent="0.25">
      <c r="A100">
        <v>99</v>
      </c>
      <c r="B100" t="s">
        <v>13</v>
      </c>
      <c r="C100" t="s">
        <v>21</v>
      </c>
      <c r="D100">
        <v>40000</v>
      </c>
      <c r="E100">
        <v>0</v>
      </c>
      <c r="F100" s="2" t="s">
        <v>46</v>
      </c>
      <c r="G100" t="s">
        <v>35</v>
      </c>
      <c r="H100" t="s">
        <v>23</v>
      </c>
      <c r="I100" t="s">
        <v>17</v>
      </c>
      <c r="J100">
        <v>0</v>
      </c>
      <c r="K100" t="s">
        <v>43</v>
      </c>
      <c r="L100" t="s">
        <v>18</v>
      </c>
      <c r="M100" t="s">
        <v>19</v>
      </c>
      <c r="N100">
        <v>25</v>
      </c>
      <c r="O100" t="s">
        <v>17</v>
      </c>
    </row>
    <row r="101" spans="1:15" x14ac:dyDescent="0.25">
      <c r="A101">
        <v>100</v>
      </c>
      <c r="B101" t="s">
        <v>13</v>
      </c>
      <c r="C101" t="s">
        <v>14</v>
      </c>
      <c r="D101">
        <v>20000</v>
      </c>
      <c r="E101">
        <v>3</v>
      </c>
      <c r="F101" s="2" t="s">
        <v>45</v>
      </c>
      <c r="G101" t="s">
        <v>31</v>
      </c>
      <c r="H101" t="s">
        <v>29</v>
      </c>
      <c r="I101" t="s">
        <v>17</v>
      </c>
      <c r="J101">
        <v>2</v>
      </c>
      <c r="K101" t="s">
        <v>44</v>
      </c>
      <c r="L101" t="s">
        <v>18</v>
      </c>
      <c r="M101" t="s">
        <v>19</v>
      </c>
      <c r="N101">
        <v>43</v>
      </c>
      <c r="O101" t="s">
        <v>20</v>
      </c>
    </row>
    <row r="102" spans="1:15" x14ac:dyDescent="0.25">
      <c r="A102">
        <v>101</v>
      </c>
      <c r="B102" t="s">
        <v>26</v>
      </c>
      <c r="C102" t="s">
        <v>21</v>
      </c>
      <c r="D102">
        <v>10000</v>
      </c>
      <c r="E102">
        <v>2</v>
      </c>
      <c r="F102" s="2" t="s">
        <v>45</v>
      </c>
      <c r="G102" t="s">
        <v>31</v>
      </c>
      <c r="H102" t="s">
        <v>29</v>
      </c>
      <c r="I102" t="s">
        <v>17</v>
      </c>
      <c r="J102">
        <v>0</v>
      </c>
      <c r="K102" t="s">
        <v>43</v>
      </c>
      <c r="L102" t="s">
        <v>18</v>
      </c>
      <c r="M102" t="s">
        <v>19</v>
      </c>
      <c r="N102">
        <v>35</v>
      </c>
      <c r="O102" t="s">
        <v>20</v>
      </c>
    </row>
    <row r="103" spans="1:15" x14ac:dyDescent="0.25">
      <c r="A103">
        <v>102</v>
      </c>
      <c r="B103" t="s">
        <v>26</v>
      </c>
      <c r="C103" t="s">
        <v>21</v>
      </c>
      <c r="D103">
        <v>60000</v>
      </c>
      <c r="E103">
        <v>3</v>
      </c>
      <c r="F103" s="2" t="s">
        <v>45</v>
      </c>
      <c r="G103" t="s">
        <v>15</v>
      </c>
      <c r="H103" t="s">
        <v>24</v>
      </c>
      <c r="I103" t="s">
        <v>20</v>
      </c>
      <c r="J103">
        <v>2</v>
      </c>
      <c r="K103" t="s">
        <v>44</v>
      </c>
      <c r="L103" t="s">
        <v>18</v>
      </c>
      <c r="M103" t="s">
        <v>28</v>
      </c>
      <c r="N103">
        <v>43</v>
      </c>
      <c r="O103" t="s">
        <v>17</v>
      </c>
    </row>
    <row r="104" spans="1:15" x14ac:dyDescent="0.25">
      <c r="A104">
        <v>103</v>
      </c>
      <c r="B104" t="s">
        <v>13</v>
      </c>
      <c r="C104" t="s">
        <v>21</v>
      </c>
      <c r="D104">
        <v>10000</v>
      </c>
      <c r="E104">
        <v>2</v>
      </c>
      <c r="F104" s="2" t="s">
        <v>45</v>
      </c>
      <c r="G104" t="s">
        <v>22</v>
      </c>
      <c r="H104" t="s">
        <v>29</v>
      </c>
      <c r="I104" t="s">
        <v>17</v>
      </c>
      <c r="J104">
        <v>0</v>
      </c>
      <c r="K104" t="s">
        <v>43</v>
      </c>
      <c r="L104" t="s">
        <v>30</v>
      </c>
      <c r="M104" t="s">
        <v>19</v>
      </c>
      <c r="N104">
        <v>49</v>
      </c>
      <c r="O104" t="s">
        <v>20</v>
      </c>
    </row>
    <row r="105" spans="1:15" x14ac:dyDescent="0.25">
      <c r="A105">
        <v>104</v>
      </c>
      <c r="B105" t="s">
        <v>26</v>
      </c>
      <c r="C105" t="s">
        <v>21</v>
      </c>
      <c r="D105">
        <v>60000</v>
      </c>
      <c r="E105">
        <v>1</v>
      </c>
      <c r="F105" s="2" t="s">
        <v>45</v>
      </c>
      <c r="G105" t="s">
        <v>22</v>
      </c>
      <c r="H105" t="s">
        <v>16</v>
      </c>
      <c r="I105" t="s">
        <v>17</v>
      </c>
      <c r="J105">
        <v>1</v>
      </c>
      <c r="K105" t="s">
        <v>44</v>
      </c>
      <c r="L105" t="s">
        <v>27</v>
      </c>
      <c r="M105" t="s">
        <v>28</v>
      </c>
      <c r="N105">
        <v>45</v>
      </c>
      <c r="O105" t="s">
        <v>20</v>
      </c>
    </row>
    <row r="106" spans="1:15" x14ac:dyDescent="0.25">
      <c r="A106">
        <v>105</v>
      </c>
      <c r="B106" t="s">
        <v>26</v>
      </c>
      <c r="C106" t="s">
        <v>14</v>
      </c>
      <c r="D106">
        <v>70000</v>
      </c>
      <c r="E106">
        <v>2</v>
      </c>
      <c r="F106" s="2" t="s">
        <v>45</v>
      </c>
      <c r="G106" t="s">
        <v>31</v>
      </c>
      <c r="H106" t="s">
        <v>24</v>
      </c>
      <c r="I106" t="s">
        <v>17</v>
      </c>
      <c r="J106">
        <v>2</v>
      </c>
      <c r="K106" t="s">
        <v>44</v>
      </c>
      <c r="L106" t="s">
        <v>27</v>
      </c>
      <c r="M106" t="s">
        <v>28</v>
      </c>
      <c r="N106">
        <v>49</v>
      </c>
      <c r="O106" t="s">
        <v>17</v>
      </c>
    </row>
    <row r="107" spans="1:15" x14ac:dyDescent="0.25">
      <c r="A107">
        <v>106</v>
      </c>
      <c r="B107" t="s">
        <v>26</v>
      </c>
      <c r="C107" t="s">
        <v>14</v>
      </c>
      <c r="D107">
        <v>30000</v>
      </c>
      <c r="E107">
        <v>0</v>
      </c>
      <c r="F107" s="2" t="s">
        <v>46</v>
      </c>
      <c r="G107" t="s">
        <v>22</v>
      </c>
      <c r="H107" t="s">
        <v>23</v>
      </c>
      <c r="I107" t="s">
        <v>20</v>
      </c>
      <c r="J107">
        <v>1</v>
      </c>
      <c r="K107" t="s">
        <v>44</v>
      </c>
      <c r="L107" t="s">
        <v>25</v>
      </c>
      <c r="M107" t="s">
        <v>19</v>
      </c>
      <c r="N107">
        <v>30</v>
      </c>
      <c r="O107" t="s">
        <v>20</v>
      </c>
    </row>
    <row r="108" spans="1:15" x14ac:dyDescent="0.25">
      <c r="A108">
        <v>107</v>
      </c>
      <c r="B108" t="s">
        <v>13</v>
      </c>
      <c r="C108" t="s">
        <v>21</v>
      </c>
      <c r="D108">
        <v>70000</v>
      </c>
      <c r="E108">
        <v>2</v>
      </c>
      <c r="F108" s="2" t="s">
        <v>45</v>
      </c>
      <c r="G108" t="s">
        <v>22</v>
      </c>
      <c r="H108" t="s">
        <v>16</v>
      </c>
      <c r="I108" t="s">
        <v>17</v>
      </c>
      <c r="J108">
        <v>2</v>
      </c>
      <c r="K108" t="s">
        <v>44</v>
      </c>
      <c r="L108" t="s">
        <v>27</v>
      </c>
      <c r="M108" t="s">
        <v>28</v>
      </c>
      <c r="N108">
        <v>52</v>
      </c>
      <c r="O108" t="s">
        <v>17</v>
      </c>
    </row>
    <row r="109" spans="1:15" x14ac:dyDescent="0.25">
      <c r="A109">
        <v>108</v>
      </c>
      <c r="B109" t="s">
        <v>26</v>
      </c>
      <c r="C109" t="s">
        <v>14</v>
      </c>
      <c r="D109">
        <v>40000</v>
      </c>
      <c r="E109">
        <v>2</v>
      </c>
      <c r="F109" s="2" t="s">
        <v>45</v>
      </c>
      <c r="G109" t="s">
        <v>22</v>
      </c>
      <c r="H109" t="s">
        <v>16</v>
      </c>
      <c r="I109" t="s">
        <v>20</v>
      </c>
      <c r="J109">
        <v>2</v>
      </c>
      <c r="K109" t="s">
        <v>44</v>
      </c>
      <c r="L109" t="s">
        <v>30</v>
      </c>
      <c r="M109" t="s">
        <v>28</v>
      </c>
      <c r="N109">
        <v>53</v>
      </c>
      <c r="O109" t="s">
        <v>17</v>
      </c>
    </row>
    <row r="110" spans="1:15" x14ac:dyDescent="0.25">
      <c r="A110">
        <v>109</v>
      </c>
      <c r="B110" t="s">
        <v>13</v>
      </c>
      <c r="C110" t="s">
        <v>14</v>
      </c>
      <c r="D110">
        <v>40000</v>
      </c>
      <c r="E110">
        <v>0</v>
      </c>
      <c r="F110" s="2" t="s">
        <v>46</v>
      </c>
      <c r="G110" t="s">
        <v>15</v>
      </c>
      <c r="H110" t="s">
        <v>23</v>
      </c>
      <c r="I110" t="s">
        <v>17</v>
      </c>
      <c r="J110">
        <v>0</v>
      </c>
      <c r="K110" t="s">
        <v>43</v>
      </c>
      <c r="L110" t="s">
        <v>18</v>
      </c>
      <c r="M110" t="s">
        <v>19</v>
      </c>
      <c r="N110">
        <v>38</v>
      </c>
      <c r="O110" t="s">
        <v>17</v>
      </c>
    </row>
    <row r="111" spans="1:15" x14ac:dyDescent="0.25">
      <c r="A111">
        <v>110</v>
      </c>
      <c r="B111" t="s">
        <v>26</v>
      </c>
      <c r="C111" t="s">
        <v>21</v>
      </c>
      <c r="D111">
        <v>40000</v>
      </c>
      <c r="E111">
        <v>0</v>
      </c>
      <c r="F111" s="2" t="s">
        <v>46</v>
      </c>
      <c r="G111" t="s">
        <v>15</v>
      </c>
      <c r="H111" t="s">
        <v>24</v>
      </c>
      <c r="I111" t="s">
        <v>20</v>
      </c>
      <c r="J111">
        <v>0</v>
      </c>
      <c r="K111" t="s">
        <v>43</v>
      </c>
      <c r="L111" t="s">
        <v>18</v>
      </c>
      <c r="M111" t="s">
        <v>19</v>
      </c>
      <c r="N111">
        <v>39</v>
      </c>
      <c r="O111" t="s">
        <v>17</v>
      </c>
    </row>
    <row r="112" spans="1:15" x14ac:dyDescent="0.25">
      <c r="A112">
        <v>111</v>
      </c>
      <c r="B112" t="s">
        <v>26</v>
      </c>
      <c r="C112" t="s">
        <v>14</v>
      </c>
      <c r="D112">
        <v>30000</v>
      </c>
      <c r="E112">
        <v>1</v>
      </c>
      <c r="F112" s="2" t="s">
        <v>45</v>
      </c>
      <c r="G112" t="s">
        <v>22</v>
      </c>
      <c r="H112" t="s">
        <v>29</v>
      </c>
      <c r="I112" t="s">
        <v>20</v>
      </c>
      <c r="J112">
        <v>0</v>
      </c>
      <c r="K112" t="s">
        <v>43</v>
      </c>
      <c r="L112" t="s">
        <v>18</v>
      </c>
      <c r="M112" t="s">
        <v>19</v>
      </c>
      <c r="N112">
        <v>46</v>
      </c>
      <c r="O112" t="s">
        <v>17</v>
      </c>
    </row>
    <row r="113" spans="1:15" x14ac:dyDescent="0.25">
      <c r="A113">
        <v>112</v>
      </c>
      <c r="B113" t="s">
        <v>26</v>
      </c>
      <c r="C113" t="s">
        <v>14</v>
      </c>
      <c r="D113">
        <v>70000</v>
      </c>
      <c r="E113">
        <v>0</v>
      </c>
      <c r="F113" s="2" t="s">
        <v>46</v>
      </c>
      <c r="G113" t="s">
        <v>15</v>
      </c>
      <c r="H113" t="s">
        <v>24</v>
      </c>
      <c r="I113" t="s">
        <v>20</v>
      </c>
      <c r="J113">
        <v>1</v>
      </c>
      <c r="K113" t="s">
        <v>44</v>
      </c>
      <c r="L113" t="s">
        <v>27</v>
      </c>
      <c r="M113" t="s">
        <v>28</v>
      </c>
      <c r="N113">
        <v>38</v>
      </c>
      <c r="O113" t="s">
        <v>20</v>
      </c>
    </row>
    <row r="114" spans="1:15" x14ac:dyDescent="0.25">
      <c r="A114">
        <v>113</v>
      </c>
      <c r="B114" t="s">
        <v>26</v>
      </c>
      <c r="C114" t="s">
        <v>14</v>
      </c>
      <c r="D114">
        <v>40000</v>
      </c>
      <c r="E114">
        <v>2</v>
      </c>
      <c r="F114" s="2" t="s">
        <v>45</v>
      </c>
      <c r="G114" t="s">
        <v>22</v>
      </c>
      <c r="H114" t="s">
        <v>23</v>
      </c>
      <c r="I114" t="s">
        <v>17</v>
      </c>
      <c r="J114">
        <v>2</v>
      </c>
      <c r="K114" t="s">
        <v>44</v>
      </c>
      <c r="L114" t="s">
        <v>30</v>
      </c>
      <c r="M114" t="s">
        <v>19</v>
      </c>
      <c r="N114">
        <v>35</v>
      </c>
      <c r="O114" t="s">
        <v>20</v>
      </c>
    </row>
    <row r="115" spans="1:15" x14ac:dyDescent="0.25">
      <c r="A115">
        <v>114</v>
      </c>
      <c r="B115" t="s">
        <v>26</v>
      </c>
      <c r="C115" t="s">
        <v>14</v>
      </c>
      <c r="D115">
        <v>130000</v>
      </c>
      <c r="E115">
        <v>1</v>
      </c>
      <c r="F115" s="2" t="s">
        <v>45</v>
      </c>
      <c r="G115" t="s">
        <v>35</v>
      </c>
      <c r="H115" t="s">
        <v>32</v>
      </c>
      <c r="I115" t="s">
        <v>20</v>
      </c>
      <c r="J115">
        <v>1</v>
      </c>
      <c r="K115" t="s">
        <v>44</v>
      </c>
      <c r="L115" t="s">
        <v>18</v>
      </c>
      <c r="M115" t="s">
        <v>28</v>
      </c>
      <c r="N115">
        <v>36</v>
      </c>
      <c r="O115" t="s">
        <v>17</v>
      </c>
    </row>
    <row r="116" spans="1:15" x14ac:dyDescent="0.25">
      <c r="A116">
        <v>115</v>
      </c>
      <c r="B116" t="s">
        <v>13</v>
      </c>
      <c r="C116" t="s">
        <v>21</v>
      </c>
      <c r="D116">
        <v>20000</v>
      </c>
      <c r="E116">
        <v>0</v>
      </c>
      <c r="F116" s="2" t="s">
        <v>46</v>
      </c>
      <c r="G116" t="s">
        <v>15</v>
      </c>
      <c r="H116" t="s">
        <v>23</v>
      </c>
      <c r="I116" t="s">
        <v>17</v>
      </c>
      <c r="J116">
        <v>0</v>
      </c>
      <c r="K116" t="s">
        <v>43</v>
      </c>
      <c r="L116" t="s">
        <v>18</v>
      </c>
      <c r="M116" t="s">
        <v>28</v>
      </c>
      <c r="N116">
        <v>26</v>
      </c>
      <c r="O116" t="s">
        <v>17</v>
      </c>
    </row>
    <row r="117" spans="1:15" x14ac:dyDescent="0.25">
      <c r="A117">
        <v>116</v>
      </c>
      <c r="B117" t="s">
        <v>26</v>
      </c>
      <c r="C117" t="s">
        <v>21</v>
      </c>
      <c r="D117">
        <v>10000</v>
      </c>
      <c r="E117">
        <v>0</v>
      </c>
      <c r="F117" s="2" t="s">
        <v>46</v>
      </c>
      <c r="G117" t="s">
        <v>35</v>
      </c>
      <c r="H117" t="s">
        <v>29</v>
      </c>
      <c r="I117" t="s">
        <v>20</v>
      </c>
      <c r="J117">
        <v>0</v>
      </c>
      <c r="K117" t="s">
        <v>43</v>
      </c>
      <c r="L117" t="s">
        <v>18</v>
      </c>
      <c r="M117" t="s">
        <v>19</v>
      </c>
      <c r="N117">
        <v>30</v>
      </c>
      <c r="O117" t="s">
        <v>17</v>
      </c>
    </row>
    <row r="118" spans="1:15" x14ac:dyDescent="0.25">
      <c r="A118">
        <v>117</v>
      </c>
      <c r="B118" t="s">
        <v>13</v>
      </c>
      <c r="C118" t="s">
        <v>14</v>
      </c>
      <c r="D118">
        <v>30000</v>
      </c>
      <c r="E118">
        <v>1</v>
      </c>
      <c r="F118" s="2" t="s">
        <v>45</v>
      </c>
      <c r="G118" t="s">
        <v>15</v>
      </c>
      <c r="H118" t="s">
        <v>16</v>
      </c>
      <c r="I118" t="s">
        <v>17</v>
      </c>
      <c r="J118">
        <v>2</v>
      </c>
      <c r="K118" t="s">
        <v>44</v>
      </c>
      <c r="L118" t="s">
        <v>18</v>
      </c>
      <c r="M118" t="s">
        <v>19</v>
      </c>
      <c r="N118">
        <v>42</v>
      </c>
      <c r="O118" t="s">
        <v>20</v>
      </c>
    </row>
    <row r="119" spans="1:15" x14ac:dyDescent="0.25">
      <c r="A119">
        <v>118</v>
      </c>
      <c r="B119" t="s">
        <v>26</v>
      </c>
      <c r="C119" t="s">
        <v>14</v>
      </c>
      <c r="D119">
        <v>20000</v>
      </c>
      <c r="E119">
        <v>0</v>
      </c>
      <c r="F119" s="2" t="s">
        <v>46</v>
      </c>
      <c r="G119" t="s">
        <v>31</v>
      </c>
      <c r="H119" t="s">
        <v>29</v>
      </c>
      <c r="I119" t="s">
        <v>17</v>
      </c>
      <c r="J119">
        <v>0</v>
      </c>
      <c r="K119" t="s">
        <v>43</v>
      </c>
      <c r="L119" t="s">
        <v>18</v>
      </c>
      <c r="M119" t="s">
        <v>19</v>
      </c>
      <c r="N119">
        <v>40</v>
      </c>
      <c r="O119" t="s">
        <v>17</v>
      </c>
    </row>
    <row r="120" spans="1:15" x14ac:dyDescent="0.25">
      <c r="A120">
        <v>119</v>
      </c>
      <c r="B120" t="s">
        <v>13</v>
      </c>
      <c r="C120" t="s">
        <v>21</v>
      </c>
      <c r="D120">
        <v>80000</v>
      </c>
      <c r="E120">
        <v>5</v>
      </c>
      <c r="F120" s="2" t="s">
        <v>45</v>
      </c>
      <c r="G120" t="s">
        <v>15</v>
      </c>
      <c r="H120" t="s">
        <v>32</v>
      </c>
      <c r="I120" t="s">
        <v>17</v>
      </c>
      <c r="J120">
        <v>2</v>
      </c>
      <c r="K120" t="s">
        <v>44</v>
      </c>
      <c r="L120" t="s">
        <v>25</v>
      </c>
      <c r="M120" t="s">
        <v>19</v>
      </c>
      <c r="N120">
        <v>62</v>
      </c>
      <c r="O120" t="s">
        <v>20</v>
      </c>
    </row>
    <row r="121" spans="1:15" x14ac:dyDescent="0.25">
      <c r="A121">
        <v>120</v>
      </c>
      <c r="B121" t="s">
        <v>26</v>
      </c>
      <c r="C121" t="s">
        <v>14</v>
      </c>
      <c r="D121">
        <v>30000</v>
      </c>
      <c r="E121">
        <v>0</v>
      </c>
      <c r="F121" s="2" t="s">
        <v>46</v>
      </c>
      <c r="G121" t="s">
        <v>22</v>
      </c>
      <c r="H121" t="s">
        <v>23</v>
      </c>
      <c r="I121" t="s">
        <v>20</v>
      </c>
      <c r="J121">
        <v>1</v>
      </c>
      <c r="K121" t="s">
        <v>44</v>
      </c>
      <c r="L121" t="s">
        <v>25</v>
      </c>
      <c r="M121" t="s">
        <v>19</v>
      </c>
      <c r="N121">
        <v>29</v>
      </c>
      <c r="O121" t="s">
        <v>20</v>
      </c>
    </row>
    <row r="122" spans="1:15" x14ac:dyDescent="0.25">
      <c r="A122">
        <v>121</v>
      </c>
      <c r="B122" t="s">
        <v>13</v>
      </c>
      <c r="C122" t="s">
        <v>14</v>
      </c>
      <c r="D122">
        <v>40000</v>
      </c>
      <c r="E122">
        <v>2</v>
      </c>
      <c r="F122" s="2" t="s">
        <v>45</v>
      </c>
      <c r="G122" t="s">
        <v>15</v>
      </c>
      <c r="H122" t="s">
        <v>32</v>
      </c>
      <c r="I122" t="s">
        <v>17</v>
      </c>
      <c r="J122">
        <v>2</v>
      </c>
      <c r="K122" t="s">
        <v>44</v>
      </c>
      <c r="L122" t="s">
        <v>27</v>
      </c>
      <c r="M122" t="s">
        <v>28</v>
      </c>
      <c r="N122">
        <v>66</v>
      </c>
      <c r="O122" t="s">
        <v>17</v>
      </c>
    </row>
    <row r="123" spans="1:15" x14ac:dyDescent="0.25">
      <c r="A123">
        <v>122</v>
      </c>
      <c r="B123" t="s">
        <v>13</v>
      </c>
      <c r="C123" t="s">
        <v>21</v>
      </c>
      <c r="D123">
        <v>150000</v>
      </c>
      <c r="E123">
        <v>2</v>
      </c>
      <c r="F123" s="2" t="s">
        <v>45</v>
      </c>
      <c r="G123" t="s">
        <v>31</v>
      </c>
      <c r="H123" t="s">
        <v>24</v>
      </c>
      <c r="I123" t="s">
        <v>17</v>
      </c>
      <c r="J123">
        <v>4</v>
      </c>
      <c r="K123" t="s">
        <v>44</v>
      </c>
      <c r="L123" t="s">
        <v>18</v>
      </c>
      <c r="M123" t="s">
        <v>19</v>
      </c>
      <c r="N123">
        <v>48</v>
      </c>
      <c r="O123" t="s">
        <v>20</v>
      </c>
    </row>
    <row r="124" spans="1:15" x14ac:dyDescent="0.25">
      <c r="A124">
        <v>123</v>
      </c>
      <c r="B124" t="s">
        <v>26</v>
      </c>
      <c r="C124" t="s">
        <v>14</v>
      </c>
      <c r="D124">
        <v>80000</v>
      </c>
      <c r="E124">
        <v>0</v>
      </c>
      <c r="F124" s="2" t="s">
        <v>46</v>
      </c>
      <c r="G124" t="s">
        <v>15</v>
      </c>
      <c r="H124" t="s">
        <v>24</v>
      </c>
      <c r="I124" t="s">
        <v>20</v>
      </c>
      <c r="J124">
        <v>3</v>
      </c>
      <c r="K124" t="s">
        <v>44</v>
      </c>
      <c r="L124" t="s">
        <v>34</v>
      </c>
      <c r="M124" t="s">
        <v>28</v>
      </c>
      <c r="N124">
        <v>31</v>
      </c>
      <c r="O124" t="s">
        <v>20</v>
      </c>
    </row>
    <row r="125" spans="1:15" x14ac:dyDescent="0.25">
      <c r="A125">
        <v>124</v>
      </c>
      <c r="B125" t="s">
        <v>26</v>
      </c>
      <c r="C125" t="s">
        <v>14</v>
      </c>
      <c r="D125">
        <v>100000</v>
      </c>
      <c r="E125">
        <v>3</v>
      </c>
      <c r="F125" s="2" t="s">
        <v>45</v>
      </c>
      <c r="G125" t="s">
        <v>22</v>
      </c>
      <c r="H125" t="s">
        <v>32</v>
      </c>
      <c r="I125" t="s">
        <v>20</v>
      </c>
      <c r="J125">
        <v>4</v>
      </c>
      <c r="K125" t="s">
        <v>44</v>
      </c>
      <c r="L125" t="s">
        <v>27</v>
      </c>
      <c r="M125" t="s">
        <v>19</v>
      </c>
      <c r="N125">
        <v>56</v>
      </c>
      <c r="O125" t="s">
        <v>20</v>
      </c>
    </row>
    <row r="126" spans="1:15" x14ac:dyDescent="0.25">
      <c r="A126">
        <v>125</v>
      </c>
      <c r="B126" t="s">
        <v>26</v>
      </c>
      <c r="C126" t="s">
        <v>14</v>
      </c>
      <c r="D126">
        <v>40000</v>
      </c>
      <c r="E126">
        <v>0</v>
      </c>
      <c r="F126" s="2" t="s">
        <v>46</v>
      </c>
      <c r="G126" t="s">
        <v>15</v>
      </c>
      <c r="H126" t="s">
        <v>23</v>
      </c>
      <c r="I126" t="s">
        <v>20</v>
      </c>
      <c r="J126">
        <v>0</v>
      </c>
      <c r="K126" t="s">
        <v>43</v>
      </c>
      <c r="L126" t="s">
        <v>18</v>
      </c>
      <c r="M126" t="s">
        <v>19</v>
      </c>
      <c r="N126">
        <v>38</v>
      </c>
      <c r="O126" t="s">
        <v>17</v>
      </c>
    </row>
    <row r="127" spans="1:15" x14ac:dyDescent="0.25">
      <c r="A127">
        <v>126</v>
      </c>
      <c r="B127" t="s">
        <v>13</v>
      </c>
      <c r="C127" t="s">
        <v>21</v>
      </c>
      <c r="D127">
        <v>80000</v>
      </c>
      <c r="E127">
        <v>5</v>
      </c>
      <c r="F127" s="2" t="s">
        <v>45</v>
      </c>
      <c r="G127" t="s">
        <v>15</v>
      </c>
      <c r="H127" t="s">
        <v>24</v>
      </c>
      <c r="I127" t="s">
        <v>17</v>
      </c>
      <c r="J127">
        <v>4</v>
      </c>
      <c r="K127" t="s">
        <v>44</v>
      </c>
      <c r="L127" t="s">
        <v>30</v>
      </c>
      <c r="M127" t="s">
        <v>28</v>
      </c>
      <c r="N127">
        <v>40</v>
      </c>
      <c r="O127" t="s">
        <v>20</v>
      </c>
    </row>
    <row r="128" spans="1:15" x14ac:dyDescent="0.25">
      <c r="A128">
        <v>127</v>
      </c>
      <c r="B128" t="s">
        <v>26</v>
      </c>
      <c r="C128" t="s">
        <v>21</v>
      </c>
      <c r="D128">
        <v>30000</v>
      </c>
      <c r="E128">
        <v>0</v>
      </c>
      <c r="F128" s="2" t="s">
        <v>46</v>
      </c>
      <c r="G128" t="s">
        <v>22</v>
      </c>
      <c r="H128" t="s">
        <v>23</v>
      </c>
      <c r="I128" t="s">
        <v>17</v>
      </c>
      <c r="J128">
        <v>1</v>
      </c>
      <c r="K128" t="s">
        <v>44</v>
      </c>
      <c r="L128" t="s">
        <v>25</v>
      </c>
      <c r="M128" t="s">
        <v>19</v>
      </c>
      <c r="N128">
        <v>32</v>
      </c>
      <c r="O128" t="s">
        <v>20</v>
      </c>
    </row>
    <row r="129" spans="1:15" x14ac:dyDescent="0.25">
      <c r="A129">
        <v>128</v>
      </c>
      <c r="B129" t="s">
        <v>13</v>
      </c>
      <c r="C129" t="s">
        <v>21</v>
      </c>
      <c r="D129">
        <v>30000</v>
      </c>
      <c r="E129">
        <v>1</v>
      </c>
      <c r="F129" s="2" t="s">
        <v>45</v>
      </c>
      <c r="G129" t="s">
        <v>15</v>
      </c>
      <c r="H129" t="s">
        <v>23</v>
      </c>
      <c r="I129" t="s">
        <v>17</v>
      </c>
      <c r="J129">
        <v>1</v>
      </c>
      <c r="K129" t="s">
        <v>44</v>
      </c>
      <c r="L129" t="s">
        <v>25</v>
      </c>
      <c r="M129" t="s">
        <v>19</v>
      </c>
      <c r="N129">
        <v>39</v>
      </c>
      <c r="O129" t="s">
        <v>20</v>
      </c>
    </row>
    <row r="130" spans="1:15" x14ac:dyDescent="0.25">
      <c r="A130">
        <v>129</v>
      </c>
      <c r="B130" t="s">
        <v>26</v>
      </c>
      <c r="C130" t="s">
        <v>21</v>
      </c>
      <c r="D130">
        <v>10000</v>
      </c>
      <c r="E130">
        <v>2</v>
      </c>
      <c r="F130" s="2" t="s">
        <v>45</v>
      </c>
      <c r="G130" t="s">
        <v>22</v>
      </c>
      <c r="H130" t="s">
        <v>29</v>
      </c>
      <c r="I130" t="s">
        <v>17</v>
      </c>
      <c r="J130">
        <v>1</v>
      </c>
      <c r="K130" t="s">
        <v>44</v>
      </c>
      <c r="L130" t="s">
        <v>18</v>
      </c>
      <c r="M130" t="s">
        <v>19</v>
      </c>
      <c r="N130">
        <v>52</v>
      </c>
      <c r="O130" t="s">
        <v>17</v>
      </c>
    </row>
    <row r="131" spans="1:15" x14ac:dyDescent="0.25">
      <c r="A131">
        <v>130</v>
      </c>
      <c r="B131" t="s">
        <v>26</v>
      </c>
      <c r="C131" t="s">
        <v>21</v>
      </c>
      <c r="D131">
        <v>10000</v>
      </c>
      <c r="E131">
        <v>3</v>
      </c>
      <c r="F131" s="2" t="s">
        <v>45</v>
      </c>
      <c r="G131" t="s">
        <v>31</v>
      </c>
      <c r="H131" t="s">
        <v>29</v>
      </c>
      <c r="I131" t="s">
        <v>17</v>
      </c>
      <c r="J131">
        <v>1</v>
      </c>
      <c r="K131" t="s">
        <v>44</v>
      </c>
      <c r="L131" t="s">
        <v>18</v>
      </c>
      <c r="M131" t="s">
        <v>19</v>
      </c>
      <c r="N131">
        <v>39</v>
      </c>
      <c r="O131" t="s">
        <v>17</v>
      </c>
    </row>
    <row r="132" spans="1:15" x14ac:dyDescent="0.25">
      <c r="A132">
        <v>131</v>
      </c>
      <c r="B132" t="s">
        <v>13</v>
      </c>
      <c r="C132" t="s">
        <v>21</v>
      </c>
      <c r="D132">
        <v>60000</v>
      </c>
      <c r="E132">
        <v>2</v>
      </c>
      <c r="F132" s="2" t="s">
        <v>45</v>
      </c>
      <c r="G132" t="s">
        <v>15</v>
      </c>
      <c r="H132" t="s">
        <v>24</v>
      </c>
      <c r="I132" t="s">
        <v>17</v>
      </c>
      <c r="J132">
        <v>1</v>
      </c>
      <c r="K132" t="s">
        <v>44</v>
      </c>
      <c r="L132" t="s">
        <v>25</v>
      </c>
      <c r="M132" t="s">
        <v>28</v>
      </c>
      <c r="N132">
        <v>37</v>
      </c>
      <c r="O132" t="s">
        <v>20</v>
      </c>
    </row>
    <row r="133" spans="1:15" x14ac:dyDescent="0.25">
      <c r="A133">
        <v>132</v>
      </c>
      <c r="B133" t="s">
        <v>13</v>
      </c>
      <c r="C133" t="s">
        <v>21</v>
      </c>
      <c r="D133">
        <v>90000</v>
      </c>
      <c r="E133">
        <v>4</v>
      </c>
      <c r="F133" s="2" t="s">
        <v>45</v>
      </c>
      <c r="G133" t="s">
        <v>31</v>
      </c>
      <c r="H133" t="s">
        <v>32</v>
      </c>
      <c r="I133" t="s">
        <v>17</v>
      </c>
      <c r="J133">
        <v>3</v>
      </c>
      <c r="K133" t="s">
        <v>44</v>
      </c>
      <c r="L133" t="s">
        <v>27</v>
      </c>
      <c r="M133" t="s">
        <v>19</v>
      </c>
      <c r="N133">
        <v>56</v>
      </c>
      <c r="O133" t="s">
        <v>17</v>
      </c>
    </row>
    <row r="134" spans="1:15" x14ac:dyDescent="0.25">
      <c r="A134">
        <v>133</v>
      </c>
      <c r="B134" t="s">
        <v>13</v>
      </c>
      <c r="C134" t="s">
        <v>21</v>
      </c>
      <c r="D134">
        <v>40000</v>
      </c>
      <c r="E134">
        <v>0</v>
      </c>
      <c r="F134" s="2" t="s">
        <v>46</v>
      </c>
      <c r="G134" t="s">
        <v>15</v>
      </c>
      <c r="H134" t="s">
        <v>24</v>
      </c>
      <c r="I134" t="s">
        <v>17</v>
      </c>
      <c r="J134">
        <v>0</v>
      </c>
      <c r="K134" t="s">
        <v>43</v>
      </c>
      <c r="L134" t="s">
        <v>18</v>
      </c>
      <c r="M134" t="s">
        <v>19</v>
      </c>
      <c r="N134">
        <v>40</v>
      </c>
      <c r="O134" t="s">
        <v>17</v>
      </c>
    </row>
    <row r="135" spans="1:15" x14ac:dyDescent="0.25">
      <c r="A135">
        <v>134</v>
      </c>
      <c r="B135" t="s">
        <v>26</v>
      </c>
      <c r="C135" t="s">
        <v>21</v>
      </c>
      <c r="D135">
        <v>40000</v>
      </c>
      <c r="E135">
        <v>2</v>
      </c>
      <c r="F135" s="2" t="s">
        <v>45</v>
      </c>
      <c r="G135" t="s">
        <v>15</v>
      </c>
      <c r="H135" t="s">
        <v>32</v>
      </c>
      <c r="I135" t="s">
        <v>17</v>
      </c>
      <c r="J135">
        <v>2</v>
      </c>
      <c r="K135" t="s">
        <v>44</v>
      </c>
      <c r="L135" t="s">
        <v>27</v>
      </c>
      <c r="M135" t="s">
        <v>28</v>
      </c>
      <c r="N135">
        <v>65</v>
      </c>
      <c r="O135" t="s">
        <v>17</v>
      </c>
    </row>
    <row r="136" spans="1:15" x14ac:dyDescent="0.25">
      <c r="A136">
        <v>135</v>
      </c>
      <c r="B136" t="s">
        <v>26</v>
      </c>
      <c r="C136" t="s">
        <v>14</v>
      </c>
      <c r="D136">
        <v>30000</v>
      </c>
      <c r="E136">
        <v>2</v>
      </c>
      <c r="F136" s="2" t="s">
        <v>45</v>
      </c>
      <c r="G136" t="s">
        <v>22</v>
      </c>
      <c r="H136" t="s">
        <v>23</v>
      </c>
      <c r="I136" t="s">
        <v>17</v>
      </c>
      <c r="J136">
        <v>2</v>
      </c>
      <c r="K136" t="s">
        <v>44</v>
      </c>
      <c r="L136" t="s">
        <v>18</v>
      </c>
      <c r="M136" t="s">
        <v>19</v>
      </c>
      <c r="N136">
        <v>42</v>
      </c>
      <c r="O136" t="s">
        <v>20</v>
      </c>
    </row>
    <row r="137" spans="1:15" x14ac:dyDescent="0.25">
      <c r="A137">
        <v>136</v>
      </c>
      <c r="B137" t="s">
        <v>13</v>
      </c>
      <c r="C137" t="s">
        <v>21</v>
      </c>
      <c r="D137">
        <v>10000</v>
      </c>
      <c r="E137">
        <v>2</v>
      </c>
      <c r="F137" s="2" t="s">
        <v>45</v>
      </c>
      <c r="G137" t="s">
        <v>22</v>
      </c>
      <c r="H137" t="s">
        <v>29</v>
      </c>
      <c r="I137" t="s">
        <v>17</v>
      </c>
      <c r="J137">
        <v>1</v>
      </c>
      <c r="K137" t="s">
        <v>44</v>
      </c>
      <c r="L137" t="s">
        <v>25</v>
      </c>
      <c r="M137" t="s">
        <v>19</v>
      </c>
      <c r="N137">
        <v>52</v>
      </c>
      <c r="O137" t="s">
        <v>20</v>
      </c>
    </row>
    <row r="138" spans="1:15" x14ac:dyDescent="0.25">
      <c r="A138">
        <v>137</v>
      </c>
      <c r="B138" t="s">
        <v>26</v>
      </c>
      <c r="C138" t="s">
        <v>14</v>
      </c>
      <c r="D138">
        <v>10000</v>
      </c>
      <c r="E138">
        <v>1</v>
      </c>
      <c r="F138" s="2" t="s">
        <v>45</v>
      </c>
      <c r="G138" t="s">
        <v>31</v>
      </c>
      <c r="H138" t="s">
        <v>29</v>
      </c>
      <c r="I138" t="s">
        <v>20</v>
      </c>
      <c r="J138">
        <v>1</v>
      </c>
      <c r="K138" t="s">
        <v>44</v>
      </c>
      <c r="L138" t="s">
        <v>27</v>
      </c>
      <c r="M138" t="s">
        <v>19</v>
      </c>
      <c r="N138">
        <v>35</v>
      </c>
      <c r="O138" t="s">
        <v>17</v>
      </c>
    </row>
    <row r="139" spans="1:15" x14ac:dyDescent="0.25">
      <c r="A139">
        <v>138</v>
      </c>
      <c r="B139" t="s">
        <v>26</v>
      </c>
      <c r="C139" t="s">
        <v>21</v>
      </c>
      <c r="D139">
        <v>20000</v>
      </c>
      <c r="E139">
        <v>2</v>
      </c>
      <c r="F139" s="2" t="s">
        <v>45</v>
      </c>
      <c r="G139" t="s">
        <v>31</v>
      </c>
      <c r="H139" t="s">
        <v>29</v>
      </c>
      <c r="I139" t="s">
        <v>17</v>
      </c>
      <c r="J139">
        <v>2</v>
      </c>
      <c r="K139" t="s">
        <v>44</v>
      </c>
      <c r="L139" t="s">
        <v>18</v>
      </c>
      <c r="M139" t="s">
        <v>19</v>
      </c>
      <c r="N139">
        <v>42</v>
      </c>
      <c r="O139" t="s">
        <v>20</v>
      </c>
    </row>
    <row r="140" spans="1:15" x14ac:dyDescent="0.25">
      <c r="A140">
        <v>139</v>
      </c>
      <c r="B140" t="s">
        <v>13</v>
      </c>
      <c r="C140" t="s">
        <v>14</v>
      </c>
      <c r="D140">
        <v>20000</v>
      </c>
      <c r="E140">
        <v>2</v>
      </c>
      <c r="F140" s="2" t="s">
        <v>45</v>
      </c>
      <c r="G140" t="s">
        <v>33</v>
      </c>
      <c r="H140" t="s">
        <v>23</v>
      </c>
      <c r="I140" t="s">
        <v>17</v>
      </c>
      <c r="J140">
        <v>2</v>
      </c>
      <c r="K140" t="s">
        <v>44</v>
      </c>
      <c r="L140" t="s">
        <v>27</v>
      </c>
      <c r="M140" t="s">
        <v>28</v>
      </c>
      <c r="N140">
        <v>55</v>
      </c>
      <c r="O140" t="s">
        <v>17</v>
      </c>
    </row>
    <row r="141" spans="1:15" x14ac:dyDescent="0.25">
      <c r="A141">
        <v>140</v>
      </c>
      <c r="B141" t="s">
        <v>26</v>
      </c>
      <c r="C141" t="s">
        <v>14</v>
      </c>
      <c r="D141">
        <v>30000</v>
      </c>
      <c r="E141">
        <v>2</v>
      </c>
      <c r="F141" s="2" t="s">
        <v>45</v>
      </c>
      <c r="G141" t="s">
        <v>22</v>
      </c>
      <c r="H141" t="s">
        <v>23</v>
      </c>
      <c r="I141" t="s">
        <v>20</v>
      </c>
      <c r="J141">
        <v>2</v>
      </c>
      <c r="K141" t="s">
        <v>44</v>
      </c>
      <c r="L141" t="s">
        <v>27</v>
      </c>
      <c r="M141" t="s">
        <v>28</v>
      </c>
      <c r="N141">
        <v>60</v>
      </c>
      <c r="O141" t="s">
        <v>17</v>
      </c>
    </row>
    <row r="142" spans="1:15" x14ac:dyDescent="0.25">
      <c r="A142">
        <v>141</v>
      </c>
      <c r="B142" t="s">
        <v>26</v>
      </c>
      <c r="C142" t="s">
        <v>21</v>
      </c>
      <c r="D142">
        <v>40000</v>
      </c>
      <c r="E142">
        <v>0</v>
      </c>
      <c r="F142" s="2" t="s">
        <v>46</v>
      </c>
      <c r="G142" t="s">
        <v>15</v>
      </c>
      <c r="H142" t="s">
        <v>24</v>
      </c>
      <c r="I142" t="s">
        <v>20</v>
      </c>
      <c r="J142">
        <v>0</v>
      </c>
      <c r="K142" t="s">
        <v>43</v>
      </c>
      <c r="L142" t="s">
        <v>18</v>
      </c>
      <c r="M142" t="s">
        <v>19</v>
      </c>
      <c r="N142">
        <v>40</v>
      </c>
      <c r="O142" t="s">
        <v>17</v>
      </c>
    </row>
    <row r="143" spans="1:15" x14ac:dyDescent="0.25">
      <c r="A143">
        <v>142</v>
      </c>
      <c r="B143" t="s">
        <v>26</v>
      </c>
      <c r="C143" t="s">
        <v>14</v>
      </c>
      <c r="D143">
        <v>10000</v>
      </c>
      <c r="E143">
        <v>0</v>
      </c>
      <c r="F143" s="2" t="s">
        <v>46</v>
      </c>
      <c r="G143" t="s">
        <v>22</v>
      </c>
      <c r="H143" t="s">
        <v>29</v>
      </c>
      <c r="I143" t="s">
        <v>20</v>
      </c>
      <c r="J143">
        <v>1</v>
      </c>
      <c r="K143" t="s">
        <v>44</v>
      </c>
      <c r="L143" t="s">
        <v>18</v>
      </c>
      <c r="M143" t="s">
        <v>28</v>
      </c>
      <c r="N143">
        <v>26</v>
      </c>
      <c r="O143" t="s">
        <v>17</v>
      </c>
    </row>
    <row r="144" spans="1:15" x14ac:dyDescent="0.25">
      <c r="A144">
        <v>143</v>
      </c>
      <c r="B144" t="s">
        <v>13</v>
      </c>
      <c r="C144" t="s">
        <v>21</v>
      </c>
      <c r="D144">
        <v>40000</v>
      </c>
      <c r="E144">
        <v>1</v>
      </c>
      <c r="F144" s="2" t="s">
        <v>45</v>
      </c>
      <c r="G144" t="s">
        <v>15</v>
      </c>
      <c r="H144" t="s">
        <v>16</v>
      </c>
      <c r="I144" t="s">
        <v>17</v>
      </c>
      <c r="J144">
        <v>0</v>
      </c>
      <c r="K144" t="s">
        <v>43</v>
      </c>
      <c r="L144" t="s">
        <v>18</v>
      </c>
      <c r="M144" t="s">
        <v>19</v>
      </c>
      <c r="N144">
        <v>42</v>
      </c>
      <c r="O144" t="s">
        <v>17</v>
      </c>
    </row>
    <row r="145" spans="1:15" x14ac:dyDescent="0.25">
      <c r="A145">
        <v>144</v>
      </c>
      <c r="B145" t="s">
        <v>13</v>
      </c>
      <c r="C145" t="s">
        <v>14</v>
      </c>
      <c r="D145">
        <v>80000</v>
      </c>
      <c r="E145">
        <v>0</v>
      </c>
      <c r="F145" s="2" t="s">
        <v>46</v>
      </c>
      <c r="G145" t="s">
        <v>15</v>
      </c>
      <c r="H145" t="s">
        <v>24</v>
      </c>
      <c r="I145" t="s">
        <v>17</v>
      </c>
      <c r="J145">
        <v>3</v>
      </c>
      <c r="K145" t="s">
        <v>44</v>
      </c>
      <c r="L145" t="s">
        <v>34</v>
      </c>
      <c r="M145" t="s">
        <v>28</v>
      </c>
      <c r="N145">
        <v>32</v>
      </c>
      <c r="O145" t="s">
        <v>20</v>
      </c>
    </row>
    <row r="146" spans="1:15" x14ac:dyDescent="0.25">
      <c r="A146">
        <v>145</v>
      </c>
      <c r="B146" t="s">
        <v>26</v>
      </c>
      <c r="C146" t="s">
        <v>21</v>
      </c>
      <c r="D146">
        <v>30000</v>
      </c>
      <c r="E146">
        <v>1</v>
      </c>
      <c r="F146" s="2" t="s">
        <v>45</v>
      </c>
      <c r="G146" t="s">
        <v>15</v>
      </c>
      <c r="H146" t="s">
        <v>23</v>
      </c>
      <c r="I146" t="s">
        <v>17</v>
      </c>
      <c r="J146">
        <v>0</v>
      </c>
      <c r="K146" t="s">
        <v>43</v>
      </c>
      <c r="L146" t="s">
        <v>30</v>
      </c>
      <c r="M146" t="s">
        <v>19</v>
      </c>
      <c r="N146">
        <v>37</v>
      </c>
      <c r="O146" t="s">
        <v>17</v>
      </c>
    </row>
    <row r="147" spans="1:15" x14ac:dyDescent="0.25">
      <c r="A147">
        <v>146</v>
      </c>
      <c r="B147" t="s">
        <v>13</v>
      </c>
      <c r="C147" t="s">
        <v>14</v>
      </c>
      <c r="D147">
        <v>40000</v>
      </c>
      <c r="E147">
        <v>2</v>
      </c>
      <c r="F147" s="2" t="s">
        <v>45</v>
      </c>
      <c r="G147" t="s">
        <v>22</v>
      </c>
      <c r="H147" t="s">
        <v>23</v>
      </c>
      <c r="I147" t="s">
        <v>20</v>
      </c>
      <c r="J147">
        <v>1</v>
      </c>
      <c r="K147" t="s">
        <v>44</v>
      </c>
      <c r="L147" t="s">
        <v>18</v>
      </c>
      <c r="M147" t="s">
        <v>19</v>
      </c>
      <c r="N147">
        <v>34</v>
      </c>
      <c r="O147" t="s">
        <v>20</v>
      </c>
    </row>
    <row r="148" spans="1:15" x14ac:dyDescent="0.25">
      <c r="A148">
        <v>147</v>
      </c>
      <c r="B148" t="s">
        <v>13</v>
      </c>
      <c r="C148" t="s">
        <v>21</v>
      </c>
      <c r="D148">
        <v>40000</v>
      </c>
      <c r="E148">
        <v>0</v>
      </c>
      <c r="F148" s="2" t="s">
        <v>46</v>
      </c>
      <c r="G148" t="s">
        <v>35</v>
      </c>
      <c r="H148" t="s">
        <v>23</v>
      </c>
      <c r="I148" t="s">
        <v>17</v>
      </c>
      <c r="J148">
        <v>0</v>
      </c>
      <c r="K148" t="s">
        <v>43</v>
      </c>
      <c r="L148" t="s">
        <v>18</v>
      </c>
      <c r="M148" t="s">
        <v>19</v>
      </c>
      <c r="N148">
        <v>37</v>
      </c>
      <c r="O148" t="s">
        <v>17</v>
      </c>
    </row>
    <row r="149" spans="1:15" x14ac:dyDescent="0.25">
      <c r="A149">
        <v>148</v>
      </c>
      <c r="B149" t="s">
        <v>13</v>
      </c>
      <c r="C149" t="s">
        <v>14</v>
      </c>
      <c r="D149">
        <v>40000</v>
      </c>
      <c r="E149">
        <v>0</v>
      </c>
      <c r="F149" s="2" t="s">
        <v>46</v>
      </c>
      <c r="G149" t="s">
        <v>15</v>
      </c>
      <c r="H149" t="s">
        <v>24</v>
      </c>
      <c r="I149" t="s">
        <v>20</v>
      </c>
      <c r="J149">
        <v>0</v>
      </c>
      <c r="K149" t="s">
        <v>43</v>
      </c>
      <c r="L149" t="s">
        <v>18</v>
      </c>
      <c r="M149" t="s">
        <v>19</v>
      </c>
      <c r="N149">
        <v>40</v>
      </c>
      <c r="O149" t="s">
        <v>17</v>
      </c>
    </row>
    <row r="150" spans="1:15" x14ac:dyDescent="0.25">
      <c r="A150">
        <v>149</v>
      </c>
      <c r="B150" t="s">
        <v>13</v>
      </c>
      <c r="C150" t="s">
        <v>21</v>
      </c>
      <c r="D150">
        <v>20000</v>
      </c>
      <c r="E150">
        <v>4</v>
      </c>
      <c r="F150" s="2" t="s">
        <v>45</v>
      </c>
      <c r="G150" t="s">
        <v>31</v>
      </c>
      <c r="H150" t="s">
        <v>16</v>
      </c>
      <c r="I150" t="s">
        <v>17</v>
      </c>
      <c r="J150">
        <v>2</v>
      </c>
      <c r="K150" t="s">
        <v>44</v>
      </c>
      <c r="L150" t="s">
        <v>27</v>
      </c>
      <c r="M150" t="s">
        <v>28</v>
      </c>
      <c r="N150">
        <v>60</v>
      </c>
      <c r="O150" t="s">
        <v>20</v>
      </c>
    </row>
    <row r="151" spans="1:15" x14ac:dyDescent="0.25">
      <c r="A151">
        <v>150</v>
      </c>
      <c r="B151" t="s">
        <v>26</v>
      </c>
      <c r="C151" t="s">
        <v>21</v>
      </c>
      <c r="D151">
        <v>30000</v>
      </c>
      <c r="E151">
        <v>0</v>
      </c>
      <c r="F151" s="2" t="s">
        <v>46</v>
      </c>
      <c r="G151" t="s">
        <v>22</v>
      </c>
      <c r="H151" t="s">
        <v>23</v>
      </c>
      <c r="I151" t="s">
        <v>20</v>
      </c>
      <c r="J151">
        <v>1</v>
      </c>
      <c r="K151" t="s">
        <v>44</v>
      </c>
      <c r="L151" t="s">
        <v>30</v>
      </c>
      <c r="M151" t="s">
        <v>19</v>
      </c>
      <c r="N151">
        <v>27</v>
      </c>
      <c r="O151" t="s">
        <v>20</v>
      </c>
    </row>
    <row r="152" spans="1:15" x14ac:dyDescent="0.25">
      <c r="A152">
        <v>151</v>
      </c>
      <c r="B152" t="s">
        <v>13</v>
      </c>
      <c r="C152" t="s">
        <v>21</v>
      </c>
      <c r="D152">
        <v>60000</v>
      </c>
      <c r="E152">
        <v>1</v>
      </c>
      <c r="F152" s="2" t="s">
        <v>45</v>
      </c>
      <c r="G152" t="s">
        <v>22</v>
      </c>
      <c r="H152" t="s">
        <v>16</v>
      </c>
      <c r="I152" t="s">
        <v>17</v>
      </c>
      <c r="J152">
        <v>1</v>
      </c>
      <c r="K152" t="s">
        <v>44</v>
      </c>
      <c r="L152" t="s">
        <v>27</v>
      </c>
      <c r="M152" t="s">
        <v>28</v>
      </c>
      <c r="N152">
        <v>43</v>
      </c>
      <c r="O152" t="s">
        <v>17</v>
      </c>
    </row>
    <row r="153" spans="1:15" x14ac:dyDescent="0.25">
      <c r="A153">
        <v>152</v>
      </c>
      <c r="B153" t="s">
        <v>26</v>
      </c>
      <c r="C153" t="s">
        <v>21</v>
      </c>
      <c r="D153">
        <v>100000</v>
      </c>
      <c r="E153">
        <v>1</v>
      </c>
      <c r="F153" s="2" t="s">
        <v>45</v>
      </c>
      <c r="G153" t="s">
        <v>15</v>
      </c>
      <c r="H153" t="s">
        <v>32</v>
      </c>
      <c r="I153" t="s">
        <v>20</v>
      </c>
      <c r="J153">
        <v>3</v>
      </c>
      <c r="K153" t="s">
        <v>44</v>
      </c>
      <c r="L153" t="s">
        <v>18</v>
      </c>
      <c r="M153" t="s">
        <v>28</v>
      </c>
      <c r="N153">
        <v>48</v>
      </c>
      <c r="O153" t="s">
        <v>20</v>
      </c>
    </row>
    <row r="154" spans="1:15" x14ac:dyDescent="0.25">
      <c r="A154">
        <v>153</v>
      </c>
      <c r="B154" t="s">
        <v>26</v>
      </c>
      <c r="C154" t="s">
        <v>14</v>
      </c>
      <c r="D154">
        <v>20000</v>
      </c>
      <c r="E154">
        <v>0</v>
      </c>
      <c r="F154" s="2" t="s">
        <v>46</v>
      </c>
      <c r="G154" t="s">
        <v>33</v>
      </c>
      <c r="H154" t="s">
        <v>29</v>
      </c>
      <c r="I154" t="s">
        <v>20</v>
      </c>
      <c r="J154">
        <v>2</v>
      </c>
      <c r="K154" t="s">
        <v>44</v>
      </c>
      <c r="L154" t="s">
        <v>30</v>
      </c>
      <c r="M154" t="s">
        <v>19</v>
      </c>
      <c r="N154">
        <v>32</v>
      </c>
      <c r="O154" t="s">
        <v>20</v>
      </c>
    </row>
    <row r="155" spans="1:15" x14ac:dyDescent="0.25">
      <c r="A155">
        <v>154</v>
      </c>
      <c r="B155" t="s">
        <v>13</v>
      </c>
      <c r="C155" t="s">
        <v>21</v>
      </c>
      <c r="D155">
        <v>100000</v>
      </c>
      <c r="E155">
        <v>1</v>
      </c>
      <c r="F155" s="2" t="s">
        <v>45</v>
      </c>
      <c r="G155" t="s">
        <v>15</v>
      </c>
      <c r="H155" t="s">
        <v>32</v>
      </c>
      <c r="I155" t="s">
        <v>17</v>
      </c>
      <c r="J155">
        <v>3</v>
      </c>
      <c r="K155" t="s">
        <v>44</v>
      </c>
      <c r="L155" t="s">
        <v>25</v>
      </c>
      <c r="M155" t="s">
        <v>28</v>
      </c>
      <c r="N155">
        <v>47</v>
      </c>
      <c r="O155" t="s">
        <v>20</v>
      </c>
    </row>
    <row r="156" spans="1:15" x14ac:dyDescent="0.25">
      <c r="A156">
        <v>155</v>
      </c>
      <c r="B156" t="s">
        <v>26</v>
      </c>
      <c r="C156" t="s">
        <v>21</v>
      </c>
      <c r="D156">
        <v>80000</v>
      </c>
      <c r="E156">
        <v>5</v>
      </c>
      <c r="F156" s="2" t="s">
        <v>45</v>
      </c>
      <c r="G156" t="s">
        <v>35</v>
      </c>
      <c r="H156" t="s">
        <v>32</v>
      </c>
      <c r="I156" t="s">
        <v>17</v>
      </c>
      <c r="J156">
        <v>3</v>
      </c>
      <c r="K156" t="s">
        <v>44</v>
      </c>
      <c r="L156" t="s">
        <v>18</v>
      </c>
      <c r="M156" t="s">
        <v>28</v>
      </c>
      <c r="N156">
        <v>40</v>
      </c>
      <c r="O156" t="s">
        <v>20</v>
      </c>
    </row>
    <row r="157" spans="1:15" x14ac:dyDescent="0.25">
      <c r="A157">
        <v>156</v>
      </c>
      <c r="B157" t="s">
        <v>26</v>
      </c>
      <c r="C157" t="s">
        <v>14</v>
      </c>
      <c r="D157">
        <v>10000</v>
      </c>
      <c r="E157">
        <v>4</v>
      </c>
      <c r="F157" s="2" t="s">
        <v>45</v>
      </c>
      <c r="G157" t="s">
        <v>33</v>
      </c>
      <c r="H157" t="s">
        <v>29</v>
      </c>
      <c r="I157" t="s">
        <v>17</v>
      </c>
      <c r="J157">
        <v>2</v>
      </c>
      <c r="K157" t="s">
        <v>44</v>
      </c>
      <c r="L157" t="s">
        <v>18</v>
      </c>
      <c r="M157" t="s">
        <v>19</v>
      </c>
      <c r="N157">
        <v>41</v>
      </c>
      <c r="O157" t="s">
        <v>17</v>
      </c>
    </row>
    <row r="158" spans="1:15" x14ac:dyDescent="0.25">
      <c r="A158">
        <v>157</v>
      </c>
      <c r="B158" t="s">
        <v>13</v>
      </c>
      <c r="C158" t="s">
        <v>14</v>
      </c>
      <c r="D158">
        <v>130000</v>
      </c>
      <c r="E158">
        <v>5</v>
      </c>
      <c r="F158" s="2" t="s">
        <v>45</v>
      </c>
      <c r="G158" t="s">
        <v>22</v>
      </c>
      <c r="H158" t="s">
        <v>24</v>
      </c>
      <c r="I158" t="s">
        <v>17</v>
      </c>
      <c r="J158">
        <v>4</v>
      </c>
      <c r="K158" t="s">
        <v>44</v>
      </c>
      <c r="L158" t="s">
        <v>18</v>
      </c>
      <c r="M158" t="s">
        <v>19</v>
      </c>
      <c r="N158">
        <v>59</v>
      </c>
      <c r="O158" t="s">
        <v>20</v>
      </c>
    </row>
    <row r="159" spans="1:15" x14ac:dyDescent="0.25">
      <c r="A159">
        <v>158</v>
      </c>
      <c r="B159" t="s">
        <v>26</v>
      </c>
      <c r="C159" t="s">
        <v>21</v>
      </c>
      <c r="D159">
        <v>10000</v>
      </c>
      <c r="E159">
        <v>2</v>
      </c>
      <c r="F159" s="2" t="s">
        <v>45</v>
      </c>
      <c r="G159" t="s">
        <v>22</v>
      </c>
      <c r="H159" t="s">
        <v>29</v>
      </c>
      <c r="I159" t="s">
        <v>20</v>
      </c>
      <c r="J159">
        <v>0</v>
      </c>
      <c r="K159" t="s">
        <v>43</v>
      </c>
      <c r="L159" t="s">
        <v>18</v>
      </c>
      <c r="M159" t="s">
        <v>19</v>
      </c>
      <c r="N159">
        <v>50</v>
      </c>
      <c r="O159" t="s">
        <v>20</v>
      </c>
    </row>
    <row r="160" spans="1:15" x14ac:dyDescent="0.25">
      <c r="A160">
        <v>159</v>
      </c>
      <c r="B160" t="s">
        <v>26</v>
      </c>
      <c r="C160" t="s">
        <v>14</v>
      </c>
      <c r="D160">
        <v>20000</v>
      </c>
      <c r="E160">
        <v>2</v>
      </c>
      <c r="F160" s="2" t="s">
        <v>45</v>
      </c>
      <c r="G160" t="s">
        <v>22</v>
      </c>
      <c r="H160" t="s">
        <v>29</v>
      </c>
      <c r="I160" t="s">
        <v>20</v>
      </c>
      <c r="J160">
        <v>1</v>
      </c>
      <c r="K160" t="s">
        <v>44</v>
      </c>
      <c r="L160" t="s">
        <v>18</v>
      </c>
      <c r="M160" t="s">
        <v>19</v>
      </c>
      <c r="N160">
        <v>54</v>
      </c>
      <c r="O160" t="s">
        <v>17</v>
      </c>
    </row>
    <row r="161" spans="1:15" x14ac:dyDescent="0.25">
      <c r="A161">
        <v>160</v>
      </c>
      <c r="B161" t="s">
        <v>13</v>
      </c>
      <c r="C161" t="s">
        <v>14</v>
      </c>
      <c r="D161">
        <v>10000</v>
      </c>
      <c r="E161">
        <v>1</v>
      </c>
      <c r="F161" s="2" t="s">
        <v>45</v>
      </c>
      <c r="G161" t="s">
        <v>15</v>
      </c>
      <c r="H161" t="s">
        <v>29</v>
      </c>
      <c r="I161" t="s">
        <v>17</v>
      </c>
      <c r="J161">
        <v>0</v>
      </c>
      <c r="K161" t="s">
        <v>43</v>
      </c>
      <c r="L161" t="s">
        <v>18</v>
      </c>
      <c r="M161" t="s">
        <v>19</v>
      </c>
      <c r="N161">
        <v>48</v>
      </c>
      <c r="O161" t="s">
        <v>20</v>
      </c>
    </row>
    <row r="162" spans="1:15" x14ac:dyDescent="0.25">
      <c r="A162">
        <v>161</v>
      </c>
      <c r="B162" t="s">
        <v>26</v>
      </c>
      <c r="C162" t="s">
        <v>14</v>
      </c>
      <c r="D162">
        <v>60000</v>
      </c>
      <c r="E162">
        <v>1</v>
      </c>
      <c r="F162" s="2" t="s">
        <v>45</v>
      </c>
      <c r="G162" t="s">
        <v>15</v>
      </c>
      <c r="H162" t="s">
        <v>24</v>
      </c>
      <c r="I162" t="s">
        <v>17</v>
      </c>
      <c r="J162">
        <v>1</v>
      </c>
      <c r="K162" t="s">
        <v>44</v>
      </c>
      <c r="L162" t="s">
        <v>27</v>
      </c>
      <c r="M162" t="s">
        <v>28</v>
      </c>
      <c r="N162">
        <v>44</v>
      </c>
      <c r="O162" t="s">
        <v>17</v>
      </c>
    </row>
    <row r="163" spans="1:15" x14ac:dyDescent="0.25">
      <c r="A163">
        <v>162</v>
      </c>
      <c r="B163" t="s">
        <v>13</v>
      </c>
      <c r="C163" t="s">
        <v>14</v>
      </c>
      <c r="D163">
        <v>20000</v>
      </c>
      <c r="E163">
        <v>2</v>
      </c>
      <c r="F163" s="2" t="s">
        <v>45</v>
      </c>
      <c r="G163" t="s">
        <v>31</v>
      </c>
      <c r="H163" t="s">
        <v>29</v>
      </c>
      <c r="I163" t="s">
        <v>17</v>
      </c>
      <c r="J163">
        <v>0</v>
      </c>
      <c r="K163" t="s">
        <v>43</v>
      </c>
      <c r="L163" t="s">
        <v>18</v>
      </c>
      <c r="M163" t="s">
        <v>19</v>
      </c>
      <c r="N163">
        <v>40</v>
      </c>
      <c r="O163" t="s">
        <v>17</v>
      </c>
    </row>
    <row r="164" spans="1:15" x14ac:dyDescent="0.25">
      <c r="A164">
        <v>163</v>
      </c>
      <c r="B164" t="s">
        <v>26</v>
      </c>
      <c r="C164" t="s">
        <v>14</v>
      </c>
      <c r="D164">
        <v>60000</v>
      </c>
      <c r="E164">
        <v>2</v>
      </c>
      <c r="F164" s="2" t="s">
        <v>45</v>
      </c>
      <c r="G164" t="s">
        <v>15</v>
      </c>
      <c r="H164" t="s">
        <v>24</v>
      </c>
      <c r="I164" t="s">
        <v>20</v>
      </c>
      <c r="J164">
        <v>1</v>
      </c>
      <c r="K164" t="s">
        <v>44</v>
      </c>
      <c r="L164" t="s">
        <v>18</v>
      </c>
      <c r="M164" t="s">
        <v>28</v>
      </c>
      <c r="N164">
        <v>38</v>
      </c>
      <c r="O164" t="s">
        <v>17</v>
      </c>
    </row>
    <row r="165" spans="1:15" x14ac:dyDescent="0.25">
      <c r="A165">
        <v>164</v>
      </c>
      <c r="B165" t="s">
        <v>26</v>
      </c>
      <c r="C165" t="s">
        <v>21</v>
      </c>
      <c r="D165">
        <v>40000</v>
      </c>
      <c r="E165">
        <v>2</v>
      </c>
      <c r="F165" s="2" t="s">
        <v>45</v>
      </c>
      <c r="G165" t="s">
        <v>22</v>
      </c>
      <c r="H165" t="s">
        <v>16</v>
      </c>
      <c r="I165" t="s">
        <v>20</v>
      </c>
      <c r="J165">
        <v>2</v>
      </c>
      <c r="K165" t="s">
        <v>44</v>
      </c>
      <c r="L165" t="s">
        <v>30</v>
      </c>
      <c r="M165" t="s">
        <v>28</v>
      </c>
      <c r="N165">
        <v>52</v>
      </c>
      <c r="O165" t="s">
        <v>20</v>
      </c>
    </row>
    <row r="166" spans="1:15" x14ac:dyDescent="0.25">
      <c r="A166">
        <v>165</v>
      </c>
      <c r="B166" t="s">
        <v>13</v>
      </c>
      <c r="C166" t="s">
        <v>21</v>
      </c>
      <c r="D166">
        <v>10000</v>
      </c>
      <c r="E166">
        <v>0</v>
      </c>
      <c r="F166" s="2" t="s">
        <v>46</v>
      </c>
      <c r="G166" t="s">
        <v>22</v>
      </c>
      <c r="H166" t="s">
        <v>29</v>
      </c>
      <c r="I166" t="s">
        <v>17</v>
      </c>
      <c r="J166">
        <v>1</v>
      </c>
      <c r="K166" t="s">
        <v>44</v>
      </c>
      <c r="L166" t="s">
        <v>25</v>
      </c>
      <c r="M166" t="s">
        <v>28</v>
      </c>
      <c r="N166">
        <v>25</v>
      </c>
      <c r="O166" t="s">
        <v>17</v>
      </c>
    </row>
    <row r="167" spans="1:15" x14ac:dyDescent="0.25">
      <c r="A167">
        <v>166</v>
      </c>
      <c r="B167" t="s">
        <v>13</v>
      </c>
      <c r="C167" t="s">
        <v>14</v>
      </c>
      <c r="D167">
        <v>10000</v>
      </c>
      <c r="E167">
        <v>0</v>
      </c>
      <c r="F167" s="2" t="s">
        <v>46</v>
      </c>
      <c r="G167" t="s">
        <v>22</v>
      </c>
      <c r="H167" t="s">
        <v>29</v>
      </c>
      <c r="I167" t="s">
        <v>20</v>
      </c>
      <c r="J167">
        <v>1</v>
      </c>
      <c r="K167" t="s">
        <v>44</v>
      </c>
      <c r="L167" t="s">
        <v>18</v>
      </c>
      <c r="M167" t="s">
        <v>28</v>
      </c>
      <c r="N167">
        <v>25</v>
      </c>
      <c r="O167" t="s">
        <v>20</v>
      </c>
    </row>
    <row r="168" spans="1:15" x14ac:dyDescent="0.25">
      <c r="A168">
        <v>167</v>
      </c>
      <c r="B168" t="s">
        <v>26</v>
      </c>
      <c r="C168" t="s">
        <v>21</v>
      </c>
      <c r="D168">
        <v>90000</v>
      </c>
      <c r="E168">
        <v>1</v>
      </c>
      <c r="F168" s="2" t="s">
        <v>45</v>
      </c>
      <c r="G168" t="s">
        <v>15</v>
      </c>
      <c r="H168" t="s">
        <v>24</v>
      </c>
      <c r="I168" t="s">
        <v>17</v>
      </c>
      <c r="J168">
        <v>1</v>
      </c>
      <c r="K168" t="s">
        <v>44</v>
      </c>
      <c r="L168" t="s">
        <v>25</v>
      </c>
      <c r="M168" t="s">
        <v>28</v>
      </c>
      <c r="N168">
        <v>47</v>
      </c>
      <c r="O168" t="s">
        <v>17</v>
      </c>
    </row>
    <row r="169" spans="1:15" x14ac:dyDescent="0.25">
      <c r="A169">
        <v>168</v>
      </c>
      <c r="B169" t="s">
        <v>26</v>
      </c>
      <c r="C169" t="s">
        <v>21</v>
      </c>
      <c r="D169">
        <v>100000</v>
      </c>
      <c r="E169">
        <v>0</v>
      </c>
      <c r="F169" s="2" t="s">
        <v>46</v>
      </c>
      <c r="G169" t="s">
        <v>31</v>
      </c>
      <c r="H169" t="s">
        <v>32</v>
      </c>
      <c r="I169" t="s">
        <v>17</v>
      </c>
      <c r="J169">
        <v>3</v>
      </c>
      <c r="K169" t="s">
        <v>44</v>
      </c>
      <c r="L169" t="s">
        <v>34</v>
      </c>
      <c r="M169" t="s">
        <v>28</v>
      </c>
      <c r="N169">
        <v>35</v>
      </c>
      <c r="O169" t="s">
        <v>20</v>
      </c>
    </row>
    <row r="170" spans="1:15" x14ac:dyDescent="0.25">
      <c r="A170">
        <v>169</v>
      </c>
      <c r="B170" t="s">
        <v>26</v>
      </c>
      <c r="C170" t="s">
        <v>21</v>
      </c>
      <c r="D170">
        <v>70000</v>
      </c>
      <c r="E170">
        <v>0</v>
      </c>
      <c r="F170" s="2" t="s">
        <v>46</v>
      </c>
      <c r="G170" t="s">
        <v>15</v>
      </c>
      <c r="H170" t="s">
        <v>24</v>
      </c>
      <c r="I170" t="s">
        <v>20</v>
      </c>
      <c r="J170">
        <v>1</v>
      </c>
      <c r="K170" t="s">
        <v>44</v>
      </c>
      <c r="L170" t="s">
        <v>27</v>
      </c>
      <c r="M170" t="s">
        <v>28</v>
      </c>
      <c r="N170">
        <v>41</v>
      </c>
      <c r="O170" t="s">
        <v>17</v>
      </c>
    </row>
    <row r="171" spans="1:15" x14ac:dyDescent="0.25">
      <c r="A171">
        <v>170</v>
      </c>
      <c r="B171" t="s">
        <v>13</v>
      </c>
      <c r="C171" t="s">
        <v>21</v>
      </c>
      <c r="D171">
        <v>30000</v>
      </c>
      <c r="E171">
        <v>1</v>
      </c>
      <c r="F171" s="2" t="s">
        <v>45</v>
      </c>
      <c r="G171" t="s">
        <v>15</v>
      </c>
      <c r="H171" t="s">
        <v>23</v>
      </c>
      <c r="I171" t="s">
        <v>17</v>
      </c>
      <c r="J171">
        <v>0</v>
      </c>
      <c r="K171" t="s">
        <v>43</v>
      </c>
      <c r="L171" t="s">
        <v>18</v>
      </c>
      <c r="M171" t="s">
        <v>19</v>
      </c>
      <c r="N171">
        <v>47</v>
      </c>
      <c r="O171" t="s">
        <v>20</v>
      </c>
    </row>
    <row r="172" spans="1:15" x14ac:dyDescent="0.25">
      <c r="A172">
        <v>171</v>
      </c>
      <c r="B172" t="s">
        <v>13</v>
      </c>
      <c r="C172" t="s">
        <v>14</v>
      </c>
      <c r="D172">
        <v>130000</v>
      </c>
      <c r="E172">
        <v>4</v>
      </c>
      <c r="F172" s="2" t="s">
        <v>45</v>
      </c>
      <c r="G172" t="s">
        <v>22</v>
      </c>
      <c r="H172" t="s">
        <v>24</v>
      </c>
      <c r="I172" t="s">
        <v>17</v>
      </c>
      <c r="J172">
        <v>4</v>
      </c>
      <c r="K172" t="s">
        <v>44</v>
      </c>
      <c r="L172" t="s">
        <v>27</v>
      </c>
      <c r="M172" t="s">
        <v>19</v>
      </c>
      <c r="N172">
        <v>61</v>
      </c>
      <c r="O172" t="s">
        <v>17</v>
      </c>
    </row>
    <row r="173" spans="1:15" x14ac:dyDescent="0.25">
      <c r="A173">
        <v>172</v>
      </c>
      <c r="B173" t="s">
        <v>13</v>
      </c>
      <c r="C173" t="s">
        <v>14</v>
      </c>
      <c r="D173">
        <v>80000</v>
      </c>
      <c r="E173">
        <v>5</v>
      </c>
      <c r="F173" s="2" t="s">
        <v>45</v>
      </c>
      <c r="G173" t="s">
        <v>15</v>
      </c>
      <c r="H173" t="s">
        <v>32</v>
      </c>
      <c r="I173" t="s">
        <v>17</v>
      </c>
      <c r="J173">
        <v>2</v>
      </c>
      <c r="K173" t="s">
        <v>44</v>
      </c>
      <c r="L173" t="s">
        <v>25</v>
      </c>
      <c r="M173" t="s">
        <v>19</v>
      </c>
      <c r="N173">
        <v>61</v>
      </c>
      <c r="O173" t="s">
        <v>20</v>
      </c>
    </row>
    <row r="174" spans="1:15" x14ac:dyDescent="0.25">
      <c r="A174">
        <v>173</v>
      </c>
      <c r="B174" t="s">
        <v>13</v>
      </c>
      <c r="C174" t="s">
        <v>21</v>
      </c>
      <c r="D174">
        <v>10000</v>
      </c>
      <c r="E174">
        <v>0</v>
      </c>
      <c r="F174" s="2" t="s">
        <v>46</v>
      </c>
      <c r="G174" t="s">
        <v>33</v>
      </c>
      <c r="H174" t="s">
        <v>29</v>
      </c>
      <c r="I174" t="s">
        <v>20</v>
      </c>
      <c r="J174">
        <v>2</v>
      </c>
      <c r="K174" t="s">
        <v>44</v>
      </c>
      <c r="L174" t="s">
        <v>18</v>
      </c>
      <c r="M174" t="s">
        <v>19</v>
      </c>
      <c r="N174">
        <v>33</v>
      </c>
      <c r="O174" t="s">
        <v>20</v>
      </c>
    </row>
    <row r="175" spans="1:15" x14ac:dyDescent="0.25">
      <c r="A175">
        <v>174</v>
      </c>
      <c r="B175" t="s">
        <v>13</v>
      </c>
      <c r="C175" t="s">
        <v>14</v>
      </c>
      <c r="D175">
        <v>10000</v>
      </c>
      <c r="E175">
        <v>0</v>
      </c>
      <c r="F175" s="2" t="s">
        <v>46</v>
      </c>
      <c r="G175" t="s">
        <v>22</v>
      </c>
      <c r="H175" t="s">
        <v>29</v>
      </c>
      <c r="I175" t="s">
        <v>17</v>
      </c>
      <c r="J175">
        <v>1</v>
      </c>
      <c r="K175" t="s">
        <v>44</v>
      </c>
      <c r="L175" t="s">
        <v>25</v>
      </c>
      <c r="M175" t="s">
        <v>28</v>
      </c>
      <c r="N175">
        <v>27</v>
      </c>
      <c r="O175" t="s">
        <v>20</v>
      </c>
    </row>
    <row r="176" spans="1:15" x14ac:dyDescent="0.25">
      <c r="A176">
        <v>175</v>
      </c>
      <c r="B176" t="s">
        <v>26</v>
      </c>
      <c r="C176" t="s">
        <v>21</v>
      </c>
      <c r="D176">
        <v>50000</v>
      </c>
      <c r="E176">
        <v>0</v>
      </c>
      <c r="F176" s="2" t="s">
        <v>46</v>
      </c>
      <c r="G176" t="s">
        <v>35</v>
      </c>
      <c r="H176" t="s">
        <v>16</v>
      </c>
      <c r="I176" t="s">
        <v>17</v>
      </c>
      <c r="J176">
        <v>0</v>
      </c>
      <c r="K176" t="s">
        <v>43</v>
      </c>
      <c r="L176" t="s">
        <v>18</v>
      </c>
      <c r="M176" t="s">
        <v>19</v>
      </c>
      <c r="N176">
        <v>37</v>
      </c>
      <c r="O176" t="s">
        <v>17</v>
      </c>
    </row>
    <row r="177" spans="1:15" x14ac:dyDescent="0.25">
      <c r="A177">
        <v>176</v>
      </c>
      <c r="B177" t="s">
        <v>26</v>
      </c>
      <c r="C177" t="s">
        <v>14</v>
      </c>
      <c r="D177">
        <v>80000</v>
      </c>
      <c r="E177">
        <v>2</v>
      </c>
      <c r="F177" s="2" t="s">
        <v>45</v>
      </c>
      <c r="G177" t="s">
        <v>22</v>
      </c>
      <c r="H177" t="s">
        <v>16</v>
      </c>
      <c r="I177" t="s">
        <v>17</v>
      </c>
      <c r="J177">
        <v>2</v>
      </c>
      <c r="K177" t="s">
        <v>44</v>
      </c>
      <c r="L177" t="s">
        <v>27</v>
      </c>
      <c r="M177" t="s">
        <v>28</v>
      </c>
      <c r="N177">
        <v>52</v>
      </c>
      <c r="O177" t="s">
        <v>17</v>
      </c>
    </row>
    <row r="178" spans="1:15" x14ac:dyDescent="0.25">
      <c r="A178">
        <v>177</v>
      </c>
      <c r="B178" t="s">
        <v>26</v>
      </c>
      <c r="C178" t="s">
        <v>14</v>
      </c>
      <c r="D178">
        <v>20000</v>
      </c>
      <c r="E178">
        <v>0</v>
      </c>
      <c r="F178" s="2" t="s">
        <v>46</v>
      </c>
      <c r="G178" t="s">
        <v>22</v>
      </c>
      <c r="H178" t="s">
        <v>29</v>
      </c>
      <c r="I178" t="s">
        <v>17</v>
      </c>
      <c r="J178">
        <v>0</v>
      </c>
      <c r="K178" t="s">
        <v>43</v>
      </c>
      <c r="L178" t="s">
        <v>18</v>
      </c>
      <c r="M178" t="s">
        <v>28</v>
      </c>
      <c r="N178">
        <v>29</v>
      </c>
      <c r="O178" t="s">
        <v>17</v>
      </c>
    </row>
    <row r="179" spans="1:15" x14ac:dyDescent="0.25">
      <c r="A179">
        <v>178</v>
      </c>
      <c r="B179" t="s">
        <v>26</v>
      </c>
      <c r="C179" t="s">
        <v>14</v>
      </c>
      <c r="D179">
        <v>110000</v>
      </c>
      <c r="E179">
        <v>2</v>
      </c>
      <c r="F179" s="2" t="s">
        <v>45</v>
      </c>
      <c r="G179" t="s">
        <v>22</v>
      </c>
      <c r="H179" t="s">
        <v>24</v>
      </c>
      <c r="I179" t="s">
        <v>20</v>
      </c>
      <c r="J179">
        <v>3</v>
      </c>
      <c r="K179" t="s">
        <v>44</v>
      </c>
      <c r="L179" t="s">
        <v>27</v>
      </c>
      <c r="M179" t="s">
        <v>19</v>
      </c>
      <c r="N179">
        <v>48</v>
      </c>
      <c r="O179" t="s">
        <v>20</v>
      </c>
    </row>
    <row r="180" spans="1:15" x14ac:dyDescent="0.25">
      <c r="A180">
        <v>179</v>
      </c>
      <c r="B180" t="s">
        <v>13</v>
      </c>
      <c r="C180" t="s">
        <v>21</v>
      </c>
      <c r="D180">
        <v>160000</v>
      </c>
      <c r="E180">
        <v>4</v>
      </c>
      <c r="F180" s="2" t="s">
        <v>45</v>
      </c>
      <c r="G180" t="s">
        <v>22</v>
      </c>
      <c r="H180" t="s">
        <v>24</v>
      </c>
      <c r="I180" t="s">
        <v>20</v>
      </c>
      <c r="J180">
        <v>2</v>
      </c>
      <c r="K180" t="s">
        <v>44</v>
      </c>
      <c r="L180" t="s">
        <v>34</v>
      </c>
      <c r="M180" t="s">
        <v>19</v>
      </c>
      <c r="N180">
        <v>55</v>
      </c>
      <c r="O180" t="s">
        <v>17</v>
      </c>
    </row>
    <row r="181" spans="1:15" x14ac:dyDescent="0.25">
      <c r="A181">
        <v>180</v>
      </c>
      <c r="B181" t="s">
        <v>13</v>
      </c>
      <c r="C181" t="s">
        <v>14</v>
      </c>
      <c r="D181">
        <v>10000</v>
      </c>
      <c r="E181">
        <v>0</v>
      </c>
      <c r="F181" s="2" t="s">
        <v>46</v>
      </c>
      <c r="G181" t="s">
        <v>35</v>
      </c>
      <c r="H181" t="s">
        <v>29</v>
      </c>
      <c r="I181" t="s">
        <v>17</v>
      </c>
      <c r="J181">
        <v>0</v>
      </c>
      <c r="K181" t="s">
        <v>43</v>
      </c>
      <c r="L181" t="s">
        <v>18</v>
      </c>
      <c r="M181" t="s">
        <v>19</v>
      </c>
      <c r="N181">
        <v>37</v>
      </c>
      <c r="O181" t="s">
        <v>17</v>
      </c>
    </row>
    <row r="182" spans="1:15" x14ac:dyDescent="0.25">
      <c r="A182">
        <v>181</v>
      </c>
      <c r="B182" t="s">
        <v>26</v>
      </c>
      <c r="C182" t="s">
        <v>21</v>
      </c>
      <c r="D182">
        <v>10000</v>
      </c>
      <c r="E182">
        <v>1</v>
      </c>
      <c r="F182" s="2" t="s">
        <v>45</v>
      </c>
      <c r="G182" t="s">
        <v>35</v>
      </c>
      <c r="H182" t="s">
        <v>29</v>
      </c>
      <c r="I182" t="s">
        <v>17</v>
      </c>
      <c r="J182">
        <v>0</v>
      </c>
      <c r="K182" t="s">
        <v>43</v>
      </c>
      <c r="L182" t="s">
        <v>18</v>
      </c>
      <c r="M182" t="s">
        <v>19</v>
      </c>
      <c r="N182">
        <v>44</v>
      </c>
      <c r="O182" t="s">
        <v>20</v>
      </c>
    </row>
    <row r="183" spans="1:15" x14ac:dyDescent="0.25">
      <c r="A183">
        <v>182</v>
      </c>
      <c r="B183" t="s">
        <v>13</v>
      </c>
      <c r="C183" t="s">
        <v>14</v>
      </c>
      <c r="D183">
        <v>30000</v>
      </c>
      <c r="E183">
        <v>3</v>
      </c>
      <c r="F183" s="2" t="s">
        <v>45</v>
      </c>
      <c r="G183" t="s">
        <v>22</v>
      </c>
      <c r="H183" t="s">
        <v>23</v>
      </c>
      <c r="I183" t="s">
        <v>20</v>
      </c>
      <c r="J183">
        <v>2</v>
      </c>
      <c r="K183" t="s">
        <v>44</v>
      </c>
      <c r="L183" t="s">
        <v>30</v>
      </c>
      <c r="M183" t="s">
        <v>28</v>
      </c>
      <c r="N183">
        <v>55</v>
      </c>
      <c r="O183" t="s">
        <v>17</v>
      </c>
    </row>
    <row r="184" spans="1:15" x14ac:dyDescent="0.25">
      <c r="A184">
        <v>183</v>
      </c>
      <c r="B184" t="s">
        <v>13</v>
      </c>
      <c r="C184" t="s">
        <v>14</v>
      </c>
      <c r="D184">
        <v>10000</v>
      </c>
      <c r="E184">
        <v>2</v>
      </c>
      <c r="F184" s="2" t="s">
        <v>45</v>
      </c>
      <c r="G184" t="s">
        <v>31</v>
      </c>
      <c r="H184" t="s">
        <v>29</v>
      </c>
      <c r="I184" t="s">
        <v>20</v>
      </c>
      <c r="J184">
        <v>1</v>
      </c>
      <c r="K184" t="s">
        <v>44</v>
      </c>
      <c r="L184" t="s">
        <v>18</v>
      </c>
      <c r="M184" t="s">
        <v>19</v>
      </c>
      <c r="N184">
        <v>38</v>
      </c>
      <c r="O184" t="s">
        <v>20</v>
      </c>
    </row>
    <row r="185" spans="1:15" x14ac:dyDescent="0.25">
      <c r="A185">
        <v>184</v>
      </c>
      <c r="B185" t="s">
        <v>26</v>
      </c>
      <c r="C185" t="s">
        <v>21</v>
      </c>
      <c r="D185">
        <v>40000</v>
      </c>
      <c r="E185">
        <v>2</v>
      </c>
      <c r="F185" s="2" t="s">
        <v>45</v>
      </c>
      <c r="G185" t="s">
        <v>15</v>
      </c>
      <c r="H185" t="s">
        <v>32</v>
      </c>
      <c r="I185" t="s">
        <v>17</v>
      </c>
      <c r="J185">
        <v>2</v>
      </c>
      <c r="K185" t="s">
        <v>44</v>
      </c>
      <c r="L185" t="s">
        <v>27</v>
      </c>
      <c r="M185" t="s">
        <v>28</v>
      </c>
      <c r="N185">
        <v>66</v>
      </c>
      <c r="O185" t="s">
        <v>17</v>
      </c>
    </row>
    <row r="186" spans="1:15" x14ac:dyDescent="0.25">
      <c r="A186">
        <v>185</v>
      </c>
      <c r="B186" t="s">
        <v>13</v>
      </c>
      <c r="C186" t="s">
        <v>14</v>
      </c>
      <c r="D186">
        <v>130000</v>
      </c>
      <c r="E186">
        <v>4</v>
      </c>
      <c r="F186" s="2" t="s">
        <v>45</v>
      </c>
      <c r="G186" t="s">
        <v>31</v>
      </c>
      <c r="H186" t="s">
        <v>32</v>
      </c>
      <c r="I186" t="s">
        <v>20</v>
      </c>
      <c r="J186">
        <v>4</v>
      </c>
      <c r="K186" t="s">
        <v>44</v>
      </c>
      <c r="L186" t="s">
        <v>34</v>
      </c>
      <c r="M186" t="s">
        <v>19</v>
      </c>
      <c r="N186">
        <v>58</v>
      </c>
      <c r="O186" t="s">
        <v>20</v>
      </c>
    </row>
    <row r="187" spans="1:15" x14ac:dyDescent="0.25">
      <c r="A187">
        <v>186</v>
      </c>
      <c r="B187" t="s">
        <v>13</v>
      </c>
      <c r="C187" t="s">
        <v>14</v>
      </c>
      <c r="D187">
        <v>90000</v>
      </c>
      <c r="E187">
        <v>1</v>
      </c>
      <c r="F187" s="2" t="s">
        <v>45</v>
      </c>
      <c r="G187" t="s">
        <v>15</v>
      </c>
      <c r="H187" t="s">
        <v>24</v>
      </c>
      <c r="I187" t="s">
        <v>17</v>
      </c>
      <c r="J187">
        <v>1</v>
      </c>
      <c r="K187" t="s">
        <v>44</v>
      </c>
      <c r="L187" t="s">
        <v>25</v>
      </c>
      <c r="M187" t="s">
        <v>28</v>
      </c>
      <c r="N187">
        <v>47</v>
      </c>
      <c r="O187" t="s">
        <v>17</v>
      </c>
    </row>
    <row r="188" spans="1:15" x14ac:dyDescent="0.25">
      <c r="A188">
        <v>187</v>
      </c>
      <c r="B188" t="s">
        <v>13</v>
      </c>
      <c r="C188" t="s">
        <v>14</v>
      </c>
      <c r="D188">
        <v>30000</v>
      </c>
      <c r="E188">
        <v>3</v>
      </c>
      <c r="F188" s="2" t="s">
        <v>45</v>
      </c>
      <c r="G188" t="s">
        <v>31</v>
      </c>
      <c r="H188" t="s">
        <v>16</v>
      </c>
      <c r="I188" t="s">
        <v>20</v>
      </c>
      <c r="J188">
        <v>2</v>
      </c>
      <c r="K188" t="s">
        <v>44</v>
      </c>
      <c r="L188" t="s">
        <v>30</v>
      </c>
      <c r="M188" t="s">
        <v>28</v>
      </c>
      <c r="N188">
        <v>56</v>
      </c>
      <c r="O188" t="s">
        <v>17</v>
      </c>
    </row>
    <row r="189" spans="1:15" x14ac:dyDescent="0.25">
      <c r="A189">
        <v>188</v>
      </c>
      <c r="B189" t="s">
        <v>26</v>
      </c>
      <c r="C189" t="s">
        <v>21</v>
      </c>
      <c r="D189">
        <v>80000</v>
      </c>
      <c r="E189">
        <v>5</v>
      </c>
      <c r="F189" s="2" t="s">
        <v>45</v>
      </c>
      <c r="G189" t="s">
        <v>22</v>
      </c>
      <c r="H189" t="s">
        <v>24</v>
      </c>
      <c r="I189" t="s">
        <v>20</v>
      </c>
      <c r="J189">
        <v>2</v>
      </c>
      <c r="K189" t="s">
        <v>44</v>
      </c>
      <c r="L189" t="s">
        <v>34</v>
      </c>
      <c r="M189" t="s">
        <v>19</v>
      </c>
      <c r="N189">
        <v>59</v>
      </c>
      <c r="O189" t="s">
        <v>20</v>
      </c>
    </row>
    <row r="190" spans="1:15" x14ac:dyDescent="0.25">
      <c r="A190">
        <v>189</v>
      </c>
      <c r="B190" t="s">
        <v>13</v>
      </c>
      <c r="C190" t="s">
        <v>14</v>
      </c>
      <c r="D190">
        <v>70000</v>
      </c>
      <c r="E190">
        <v>0</v>
      </c>
      <c r="F190" s="2" t="s">
        <v>46</v>
      </c>
      <c r="G190" t="s">
        <v>15</v>
      </c>
      <c r="H190" t="s">
        <v>24</v>
      </c>
      <c r="I190" t="s">
        <v>17</v>
      </c>
      <c r="J190">
        <v>4</v>
      </c>
      <c r="K190" t="s">
        <v>44</v>
      </c>
      <c r="L190" t="s">
        <v>34</v>
      </c>
      <c r="M190" t="s">
        <v>28</v>
      </c>
      <c r="N190">
        <v>32</v>
      </c>
      <c r="O190" t="s">
        <v>17</v>
      </c>
    </row>
    <row r="191" spans="1:15" x14ac:dyDescent="0.25">
      <c r="A191">
        <v>190</v>
      </c>
      <c r="B191" t="s">
        <v>13</v>
      </c>
      <c r="C191" t="s">
        <v>21</v>
      </c>
      <c r="D191">
        <v>30000</v>
      </c>
      <c r="E191">
        <v>1</v>
      </c>
      <c r="F191" s="2" t="s">
        <v>45</v>
      </c>
      <c r="G191" t="s">
        <v>22</v>
      </c>
      <c r="H191" t="s">
        <v>23</v>
      </c>
      <c r="I191" t="s">
        <v>17</v>
      </c>
      <c r="J191">
        <v>1</v>
      </c>
      <c r="K191" t="s">
        <v>44</v>
      </c>
      <c r="L191" t="s">
        <v>18</v>
      </c>
      <c r="M191" t="s">
        <v>19</v>
      </c>
      <c r="N191">
        <v>44</v>
      </c>
      <c r="O191" t="s">
        <v>17</v>
      </c>
    </row>
    <row r="192" spans="1:15" x14ac:dyDescent="0.25">
      <c r="A192">
        <v>191</v>
      </c>
      <c r="B192" t="s">
        <v>13</v>
      </c>
      <c r="C192" t="s">
        <v>21</v>
      </c>
      <c r="D192">
        <v>30000</v>
      </c>
      <c r="E192">
        <v>3</v>
      </c>
      <c r="F192" s="2" t="s">
        <v>45</v>
      </c>
      <c r="G192" t="s">
        <v>31</v>
      </c>
      <c r="H192" t="s">
        <v>16</v>
      </c>
      <c r="I192" t="s">
        <v>17</v>
      </c>
      <c r="J192">
        <v>2</v>
      </c>
      <c r="K192" t="s">
        <v>44</v>
      </c>
      <c r="L192" t="s">
        <v>27</v>
      </c>
      <c r="M192" t="s">
        <v>28</v>
      </c>
      <c r="N192">
        <v>55</v>
      </c>
      <c r="O192" t="s">
        <v>20</v>
      </c>
    </row>
    <row r="193" spans="1:15" x14ac:dyDescent="0.25">
      <c r="A193">
        <v>192</v>
      </c>
      <c r="B193" t="s">
        <v>26</v>
      </c>
      <c r="C193" t="s">
        <v>21</v>
      </c>
      <c r="D193">
        <v>90000</v>
      </c>
      <c r="E193">
        <v>2</v>
      </c>
      <c r="F193" s="2" t="s">
        <v>45</v>
      </c>
      <c r="G193" t="s">
        <v>31</v>
      </c>
      <c r="H193" t="s">
        <v>29</v>
      </c>
      <c r="I193" t="s">
        <v>17</v>
      </c>
      <c r="J193">
        <v>0</v>
      </c>
      <c r="K193" t="s">
        <v>43</v>
      </c>
      <c r="L193" t="s">
        <v>18</v>
      </c>
      <c r="M193" t="s">
        <v>19</v>
      </c>
      <c r="N193">
        <v>36</v>
      </c>
      <c r="O193" t="s">
        <v>17</v>
      </c>
    </row>
    <row r="194" spans="1:15" x14ac:dyDescent="0.25">
      <c r="A194">
        <v>193</v>
      </c>
      <c r="B194" t="s">
        <v>26</v>
      </c>
      <c r="C194" t="s">
        <v>14</v>
      </c>
      <c r="D194">
        <v>80000</v>
      </c>
      <c r="E194">
        <v>5</v>
      </c>
      <c r="F194" s="2" t="s">
        <v>45</v>
      </c>
      <c r="G194" t="s">
        <v>15</v>
      </c>
      <c r="H194" t="s">
        <v>32</v>
      </c>
      <c r="I194" t="s">
        <v>17</v>
      </c>
      <c r="J194">
        <v>2</v>
      </c>
      <c r="K194" t="s">
        <v>44</v>
      </c>
      <c r="L194" t="s">
        <v>34</v>
      </c>
      <c r="M194" t="s">
        <v>19</v>
      </c>
      <c r="N194">
        <v>62</v>
      </c>
      <c r="O194" t="s">
        <v>20</v>
      </c>
    </row>
    <row r="195" spans="1:15" x14ac:dyDescent="0.25">
      <c r="A195">
        <v>194</v>
      </c>
      <c r="B195" t="s">
        <v>13</v>
      </c>
      <c r="C195" t="s">
        <v>14</v>
      </c>
      <c r="D195">
        <v>70000</v>
      </c>
      <c r="E195">
        <v>5</v>
      </c>
      <c r="F195" s="2" t="s">
        <v>45</v>
      </c>
      <c r="G195" t="s">
        <v>15</v>
      </c>
      <c r="H195" t="s">
        <v>24</v>
      </c>
      <c r="I195" t="s">
        <v>17</v>
      </c>
      <c r="J195">
        <v>4</v>
      </c>
      <c r="K195" t="s">
        <v>44</v>
      </c>
      <c r="L195" t="s">
        <v>34</v>
      </c>
      <c r="M195" t="s">
        <v>28</v>
      </c>
      <c r="N195">
        <v>41</v>
      </c>
      <c r="O195" t="s">
        <v>20</v>
      </c>
    </row>
    <row r="196" spans="1:15" x14ac:dyDescent="0.25">
      <c r="A196">
        <v>195</v>
      </c>
      <c r="B196" t="s">
        <v>26</v>
      </c>
      <c r="C196" t="s">
        <v>14</v>
      </c>
      <c r="D196">
        <v>10000</v>
      </c>
      <c r="E196">
        <v>0</v>
      </c>
      <c r="F196" s="2" t="s">
        <v>46</v>
      </c>
      <c r="G196" t="s">
        <v>33</v>
      </c>
      <c r="H196" t="s">
        <v>29</v>
      </c>
      <c r="I196" t="s">
        <v>20</v>
      </c>
      <c r="J196">
        <v>2</v>
      </c>
      <c r="K196" t="s">
        <v>44</v>
      </c>
      <c r="L196" t="s">
        <v>18</v>
      </c>
      <c r="M196" t="s">
        <v>19</v>
      </c>
      <c r="N196">
        <v>32</v>
      </c>
      <c r="O196" t="s">
        <v>20</v>
      </c>
    </row>
    <row r="197" spans="1:15" x14ac:dyDescent="0.25">
      <c r="A197">
        <v>196</v>
      </c>
      <c r="B197" t="s">
        <v>26</v>
      </c>
      <c r="C197" t="s">
        <v>21</v>
      </c>
      <c r="D197">
        <v>20000</v>
      </c>
      <c r="E197">
        <v>0</v>
      </c>
      <c r="F197" s="2" t="s">
        <v>46</v>
      </c>
      <c r="G197" t="s">
        <v>15</v>
      </c>
      <c r="H197" t="s">
        <v>23</v>
      </c>
      <c r="I197" t="s">
        <v>17</v>
      </c>
      <c r="J197">
        <v>0</v>
      </c>
      <c r="K197" t="s">
        <v>43</v>
      </c>
      <c r="L197" t="s">
        <v>18</v>
      </c>
      <c r="M197" t="s">
        <v>28</v>
      </c>
      <c r="N197">
        <v>25</v>
      </c>
      <c r="O197" t="s">
        <v>17</v>
      </c>
    </row>
    <row r="198" spans="1:15" x14ac:dyDescent="0.25">
      <c r="A198">
        <v>197</v>
      </c>
      <c r="B198" t="s">
        <v>26</v>
      </c>
      <c r="C198" t="s">
        <v>14</v>
      </c>
      <c r="D198">
        <v>50000</v>
      </c>
      <c r="E198">
        <v>0</v>
      </c>
      <c r="F198" s="2" t="s">
        <v>46</v>
      </c>
      <c r="G198" t="s">
        <v>35</v>
      </c>
      <c r="H198" t="s">
        <v>16</v>
      </c>
      <c r="I198" t="s">
        <v>17</v>
      </c>
      <c r="J198">
        <v>0</v>
      </c>
      <c r="K198" t="s">
        <v>43</v>
      </c>
      <c r="L198" t="s">
        <v>30</v>
      </c>
      <c r="M198" t="s">
        <v>19</v>
      </c>
      <c r="N198">
        <v>36</v>
      </c>
      <c r="O198" t="s">
        <v>20</v>
      </c>
    </row>
    <row r="199" spans="1:15" x14ac:dyDescent="0.25">
      <c r="A199">
        <v>198</v>
      </c>
      <c r="B199" t="s">
        <v>13</v>
      </c>
      <c r="C199" t="s">
        <v>21</v>
      </c>
      <c r="D199">
        <v>60000</v>
      </c>
      <c r="E199">
        <v>2</v>
      </c>
      <c r="F199" s="2" t="s">
        <v>45</v>
      </c>
      <c r="G199" t="s">
        <v>35</v>
      </c>
      <c r="H199" t="s">
        <v>32</v>
      </c>
      <c r="I199" t="s">
        <v>17</v>
      </c>
      <c r="J199">
        <v>1</v>
      </c>
      <c r="K199" t="s">
        <v>44</v>
      </c>
      <c r="L199" t="s">
        <v>18</v>
      </c>
      <c r="M199" t="s">
        <v>28</v>
      </c>
      <c r="N199">
        <v>67</v>
      </c>
      <c r="O199" t="s">
        <v>17</v>
      </c>
    </row>
    <row r="200" spans="1:15" x14ac:dyDescent="0.25">
      <c r="A200">
        <v>199</v>
      </c>
      <c r="B200" t="s">
        <v>26</v>
      </c>
      <c r="C200" t="s">
        <v>14</v>
      </c>
      <c r="D200">
        <v>100000</v>
      </c>
      <c r="E200">
        <v>0</v>
      </c>
      <c r="F200" s="2" t="s">
        <v>46</v>
      </c>
      <c r="G200" t="s">
        <v>35</v>
      </c>
      <c r="H200" t="s">
        <v>32</v>
      </c>
      <c r="I200" t="s">
        <v>20</v>
      </c>
      <c r="J200">
        <v>1</v>
      </c>
      <c r="K200" t="s">
        <v>44</v>
      </c>
      <c r="L200" t="s">
        <v>30</v>
      </c>
      <c r="M200" t="s">
        <v>28</v>
      </c>
      <c r="N200">
        <v>39</v>
      </c>
      <c r="O200" t="s">
        <v>17</v>
      </c>
    </row>
    <row r="201" spans="1:15" x14ac:dyDescent="0.25">
      <c r="A201">
        <v>200</v>
      </c>
      <c r="B201" t="s">
        <v>26</v>
      </c>
      <c r="C201" t="s">
        <v>21</v>
      </c>
      <c r="D201">
        <v>80000</v>
      </c>
      <c r="E201">
        <v>0</v>
      </c>
      <c r="F201" s="2" t="s">
        <v>46</v>
      </c>
      <c r="G201" t="s">
        <v>15</v>
      </c>
      <c r="H201" t="s">
        <v>24</v>
      </c>
      <c r="I201" t="s">
        <v>20</v>
      </c>
      <c r="J201">
        <v>3</v>
      </c>
      <c r="K201" t="s">
        <v>44</v>
      </c>
      <c r="L201" t="s">
        <v>34</v>
      </c>
      <c r="M201" t="s">
        <v>28</v>
      </c>
      <c r="N201">
        <v>33</v>
      </c>
      <c r="O201" t="s">
        <v>17</v>
      </c>
    </row>
    <row r="202" spans="1:15" x14ac:dyDescent="0.25">
      <c r="A202">
        <v>201</v>
      </c>
      <c r="B202" t="s">
        <v>26</v>
      </c>
      <c r="C202" t="s">
        <v>21</v>
      </c>
      <c r="D202">
        <v>60000</v>
      </c>
      <c r="E202">
        <v>0</v>
      </c>
      <c r="F202" s="2" t="s">
        <v>46</v>
      </c>
      <c r="G202" t="s">
        <v>15</v>
      </c>
      <c r="H202" t="s">
        <v>24</v>
      </c>
      <c r="I202" t="s">
        <v>20</v>
      </c>
      <c r="J202">
        <v>3</v>
      </c>
      <c r="K202" t="s">
        <v>44</v>
      </c>
      <c r="L202" t="s">
        <v>25</v>
      </c>
      <c r="M202" t="s">
        <v>28</v>
      </c>
      <c r="N202">
        <v>31</v>
      </c>
      <c r="O202" t="s">
        <v>20</v>
      </c>
    </row>
    <row r="203" spans="1:15" x14ac:dyDescent="0.25">
      <c r="A203">
        <v>202</v>
      </c>
      <c r="B203" t="s">
        <v>13</v>
      </c>
      <c r="C203" t="s">
        <v>21</v>
      </c>
      <c r="D203">
        <v>10000</v>
      </c>
      <c r="E203">
        <v>1</v>
      </c>
      <c r="F203" s="2" t="s">
        <v>45</v>
      </c>
      <c r="G203" t="s">
        <v>31</v>
      </c>
      <c r="H203" t="s">
        <v>29</v>
      </c>
      <c r="I203" t="s">
        <v>17</v>
      </c>
      <c r="J203">
        <v>0</v>
      </c>
      <c r="K203" t="s">
        <v>43</v>
      </c>
      <c r="L203" t="s">
        <v>25</v>
      </c>
      <c r="M203" t="s">
        <v>28</v>
      </c>
      <c r="N203">
        <v>27</v>
      </c>
      <c r="O203" t="s">
        <v>17</v>
      </c>
    </row>
    <row r="204" spans="1:15" x14ac:dyDescent="0.25">
      <c r="A204">
        <v>203</v>
      </c>
      <c r="B204" t="s">
        <v>26</v>
      </c>
      <c r="C204" t="s">
        <v>21</v>
      </c>
      <c r="D204">
        <v>40000</v>
      </c>
      <c r="E204">
        <v>2</v>
      </c>
      <c r="F204" s="2" t="s">
        <v>45</v>
      </c>
      <c r="G204" t="s">
        <v>22</v>
      </c>
      <c r="H204" t="s">
        <v>23</v>
      </c>
      <c r="I204" t="s">
        <v>17</v>
      </c>
      <c r="J204">
        <v>0</v>
      </c>
      <c r="K204" t="s">
        <v>43</v>
      </c>
      <c r="L204" t="s">
        <v>30</v>
      </c>
      <c r="M204" t="s">
        <v>19</v>
      </c>
      <c r="N204">
        <v>33</v>
      </c>
      <c r="O204" t="s">
        <v>17</v>
      </c>
    </row>
    <row r="205" spans="1:15" x14ac:dyDescent="0.25">
      <c r="A205">
        <v>204</v>
      </c>
      <c r="B205" t="s">
        <v>26</v>
      </c>
      <c r="C205" t="s">
        <v>14</v>
      </c>
      <c r="D205">
        <v>60000</v>
      </c>
      <c r="E205">
        <v>1</v>
      </c>
      <c r="F205" s="2" t="s">
        <v>45</v>
      </c>
      <c r="G205" t="s">
        <v>22</v>
      </c>
      <c r="H205" t="s">
        <v>16</v>
      </c>
      <c r="I205" t="s">
        <v>17</v>
      </c>
      <c r="J205">
        <v>1</v>
      </c>
      <c r="K205" t="s">
        <v>44</v>
      </c>
      <c r="L205" t="s">
        <v>27</v>
      </c>
      <c r="M205" t="s">
        <v>28</v>
      </c>
      <c r="N205">
        <v>46</v>
      </c>
      <c r="O205" t="s">
        <v>17</v>
      </c>
    </row>
    <row r="206" spans="1:15" x14ac:dyDescent="0.25">
      <c r="A206">
        <v>205</v>
      </c>
      <c r="B206" t="s">
        <v>26</v>
      </c>
      <c r="C206" t="s">
        <v>14</v>
      </c>
      <c r="D206">
        <v>90000</v>
      </c>
      <c r="E206">
        <v>3</v>
      </c>
      <c r="F206" s="2" t="s">
        <v>45</v>
      </c>
      <c r="G206" t="s">
        <v>31</v>
      </c>
      <c r="H206" t="s">
        <v>24</v>
      </c>
      <c r="I206" t="s">
        <v>20</v>
      </c>
      <c r="J206">
        <v>1</v>
      </c>
      <c r="K206" t="s">
        <v>44</v>
      </c>
      <c r="L206" t="s">
        <v>25</v>
      </c>
      <c r="M206" t="s">
        <v>19</v>
      </c>
      <c r="N206">
        <v>51</v>
      </c>
      <c r="O206" t="s">
        <v>20</v>
      </c>
    </row>
    <row r="207" spans="1:15" x14ac:dyDescent="0.25">
      <c r="A207">
        <v>206</v>
      </c>
      <c r="B207" t="s">
        <v>13</v>
      </c>
      <c r="C207" t="s">
        <v>21</v>
      </c>
      <c r="D207">
        <v>30000</v>
      </c>
      <c r="E207">
        <v>3</v>
      </c>
      <c r="F207" s="2" t="s">
        <v>45</v>
      </c>
      <c r="G207" t="s">
        <v>35</v>
      </c>
      <c r="H207" t="s">
        <v>23</v>
      </c>
      <c r="I207" t="s">
        <v>17</v>
      </c>
      <c r="J207">
        <v>0</v>
      </c>
      <c r="K207" t="s">
        <v>43</v>
      </c>
      <c r="L207" t="s">
        <v>18</v>
      </c>
      <c r="M207" t="s">
        <v>19</v>
      </c>
      <c r="N207">
        <v>46</v>
      </c>
      <c r="O207" t="s">
        <v>17</v>
      </c>
    </row>
    <row r="208" spans="1:15" x14ac:dyDescent="0.25">
      <c r="A208">
        <v>207</v>
      </c>
      <c r="B208" t="s">
        <v>26</v>
      </c>
      <c r="C208" t="s">
        <v>21</v>
      </c>
      <c r="D208">
        <v>90000</v>
      </c>
      <c r="E208">
        <v>5</v>
      </c>
      <c r="F208" s="2" t="s">
        <v>45</v>
      </c>
      <c r="G208" t="s">
        <v>22</v>
      </c>
      <c r="H208" t="s">
        <v>24</v>
      </c>
      <c r="I208" t="s">
        <v>20</v>
      </c>
      <c r="J208">
        <v>2</v>
      </c>
      <c r="K208" t="s">
        <v>44</v>
      </c>
      <c r="L208" t="s">
        <v>34</v>
      </c>
      <c r="M208" t="s">
        <v>19</v>
      </c>
      <c r="N208">
        <v>62</v>
      </c>
      <c r="O208" t="s">
        <v>20</v>
      </c>
    </row>
    <row r="209" spans="1:15" x14ac:dyDescent="0.25">
      <c r="A209">
        <v>208</v>
      </c>
      <c r="B209" t="s">
        <v>26</v>
      </c>
      <c r="C209" t="s">
        <v>14</v>
      </c>
      <c r="D209">
        <v>20000</v>
      </c>
      <c r="E209">
        <v>0</v>
      </c>
      <c r="F209" s="2" t="s">
        <v>46</v>
      </c>
      <c r="G209" t="s">
        <v>33</v>
      </c>
      <c r="H209" t="s">
        <v>29</v>
      </c>
      <c r="I209" t="s">
        <v>17</v>
      </c>
      <c r="J209">
        <v>2</v>
      </c>
      <c r="K209" t="s">
        <v>44</v>
      </c>
      <c r="L209" t="s">
        <v>30</v>
      </c>
      <c r="M209" t="s">
        <v>19</v>
      </c>
      <c r="N209">
        <v>26</v>
      </c>
      <c r="O209" t="s">
        <v>17</v>
      </c>
    </row>
    <row r="210" spans="1:15" x14ac:dyDescent="0.25">
      <c r="A210">
        <v>209</v>
      </c>
      <c r="B210" t="s">
        <v>26</v>
      </c>
      <c r="C210" t="s">
        <v>14</v>
      </c>
      <c r="D210">
        <v>40000</v>
      </c>
      <c r="E210">
        <v>0</v>
      </c>
      <c r="F210" s="2" t="s">
        <v>46</v>
      </c>
      <c r="G210" t="s">
        <v>35</v>
      </c>
      <c r="H210" t="s">
        <v>23</v>
      </c>
      <c r="I210" t="s">
        <v>17</v>
      </c>
      <c r="J210">
        <v>0</v>
      </c>
      <c r="K210" t="s">
        <v>43</v>
      </c>
      <c r="L210" t="s">
        <v>18</v>
      </c>
      <c r="M210" t="s">
        <v>19</v>
      </c>
      <c r="N210">
        <v>37</v>
      </c>
      <c r="O210" t="s">
        <v>17</v>
      </c>
    </row>
    <row r="211" spans="1:15" x14ac:dyDescent="0.25">
      <c r="A211">
        <v>210</v>
      </c>
      <c r="B211" t="s">
        <v>26</v>
      </c>
      <c r="C211" t="s">
        <v>14</v>
      </c>
      <c r="D211">
        <v>30000</v>
      </c>
      <c r="E211">
        <v>3</v>
      </c>
      <c r="F211" s="2" t="s">
        <v>45</v>
      </c>
      <c r="G211" t="s">
        <v>22</v>
      </c>
      <c r="H211" t="s">
        <v>23</v>
      </c>
      <c r="I211" t="s">
        <v>17</v>
      </c>
      <c r="J211">
        <v>0</v>
      </c>
      <c r="K211" t="s">
        <v>43</v>
      </c>
      <c r="L211" t="s">
        <v>18</v>
      </c>
      <c r="M211" t="s">
        <v>19</v>
      </c>
      <c r="N211">
        <v>42</v>
      </c>
      <c r="O211" t="s">
        <v>17</v>
      </c>
    </row>
    <row r="212" spans="1:15" x14ac:dyDescent="0.25">
      <c r="A212">
        <v>211</v>
      </c>
      <c r="B212" t="s">
        <v>13</v>
      </c>
      <c r="C212" t="s">
        <v>14</v>
      </c>
      <c r="D212">
        <v>80000</v>
      </c>
      <c r="E212">
        <v>4</v>
      </c>
      <c r="F212" s="2" t="s">
        <v>45</v>
      </c>
      <c r="G212" t="s">
        <v>35</v>
      </c>
      <c r="H212" t="s">
        <v>32</v>
      </c>
      <c r="I212" t="s">
        <v>17</v>
      </c>
      <c r="J212">
        <v>1</v>
      </c>
      <c r="K212" t="s">
        <v>44</v>
      </c>
      <c r="L212" t="s">
        <v>18</v>
      </c>
      <c r="M212" t="s">
        <v>28</v>
      </c>
      <c r="N212">
        <v>36</v>
      </c>
      <c r="O212" t="s">
        <v>20</v>
      </c>
    </row>
    <row r="213" spans="1:15" x14ac:dyDescent="0.25">
      <c r="A213">
        <v>212</v>
      </c>
      <c r="B213" t="s">
        <v>13</v>
      </c>
      <c r="C213" t="s">
        <v>14</v>
      </c>
      <c r="D213">
        <v>50000</v>
      </c>
      <c r="E213">
        <v>0</v>
      </c>
      <c r="F213" s="2" t="s">
        <v>46</v>
      </c>
      <c r="G213" t="s">
        <v>35</v>
      </c>
      <c r="H213" t="s">
        <v>16</v>
      </c>
      <c r="I213" t="s">
        <v>17</v>
      </c>
      <c r="J213">
        <v>0</v>
      </c>
      <c r="K213" t="s">
        <v>43</v>
      </c>
      <c r="L213" t="s">
        <v>18</v>
      </c>
      <c r="M213" t="s">
        <v>19</v>
      </c>
      <c r="N213">
        <v>36</v>
      </c>
      <c r="O213" t="s">
        <v>17</v>
      </c>
    </row>
    <row r="214" spans="1:15" x14ac:dyDescent="0.25">
      <c r="A214">
        <v>213</v>
      </c>
      <c r="B214" t="s">
        <v>26</v>
      </c>
      <c r="C214" t="s">
        <v>14</v>
      </c>
      <c r="D214">
        <v>30000</v>
      </c>
      <c r="E214">
        <v>0</v>
      </c>
      <c r="F214" s="2" t="s">
        <v>46</v>
      </c>
      <c r="G214" t="s">
        <v>22</v>
      </c>
      <c r="H214" t="s">
        <v>23</v>
      </c>
      <c r="I214" t="s">
        <v>20</v>
      </c>
      <c r="J214">
        <v>1</v>
      </c>
      <c r="K214" t="s">
        <v>44</v>
      </c>
      <c r="L214" t="s">
        <v>25</v>
      </c>
      <c r="M214" t="s">
        <v>19</v>
      </c>
      <c r="N214">
        <v>30</v>
      </c>
      <c r="O214" t="s">
        <v>20</v>
      </c>
    </row>
    <row r="215" spans="1:15" x14ac:dyDescent="0.25">
      <c r="A215">
        <v>214</v>
      </c>
      <c r="B215" t="s">
        <v>26</v>
      </c>
      <c r="C215" t="s">
        <v>21</v>
      </c>
      <c r="D215">
        <v>70000</v>
      </c>
      <c r="E215">
        <v>0</v>
      </c>
      <c r="F215" s="2" t="s">
        <v>46</v>
      </c>
      <c r="G215" t="s">
        <v>15</v>
      </c>
      <c r="H215" t="s">
        <v>24</v>
      </c>
      <c r="I215" t="s">
        <v>20</v>
      </c>
      <c r="J215">
        <v>4</v>
      </c>
      <c r="K215" t="s">
        <v>44</v>
      </c>
      <c r="L215" t="s">
        <v>34</v>
      </c>
      <c r="M215" t="s">
        <v>28</v>
      </c>
      <c r="N215">
        <v>31</v>
      </c>
      <c r="O215" t="s">
        <v>17</v>
      </c>
    </row>
    <row r="216" spans="1:15" x14ac:dyDescent="0.25">
      <c r="A216">
        <v>215</v>
      </c>
      <c r="B216" t="s">
        <v>13</v>
      </c>
      <c r="C216" t="s">
        <v>21</v>
      </c>
      <c r="D216">
        <v>30000</v>
      </c>
      <c r="E216">
        <v>1</v>
      </c>
      <c r="F216" s="2" t="s">
        <v>45</v>
      </c>
      <c r="G216" t="s">
        <v>15</v>
      </c>
      <c r="H216" t="s">
        <v>23</v>
      </c>
      <c r="I216" t="s">
        <v>17</v>
      </c>
      <c r="J216">
        <v>0</v>
      </c>
      <c r="K216" t="s">
        <v>43</v>
      </c>
      <c r="L216" t="s">
        <v>18</v>
      </c>
      <c r="M216" t="s">
        <v>19</v>
      </c>
      <c r="N216">
        <v>65</v>
      </c>
      <c r="O216" t="s">
        <v>17</v>
      </c>
    </row>
    <row r="217" spans="1:15" x14ac:dyDescent="0.25">
      <c r="A217">
        <v>216</v>
      </c>
      <c r="B217" t="s">
        <v>26</v>
      </c>
      <c r="C217" t="s">
        <v>21</v>
      </c>
      <c r="D217">
        <v>80000</v>
      </c>
      <c r="E217">
        <v>4</v>
      </c>
      <c r="F217" s="2" t="s">
        <v>45</v>
      </c>
      <c r="G217" t="s">
        <v>22</v>
      </c>
      <c r="H217" t="s">
        <v>24</v>
      </c>
      <c r="I217" t="s">
        <v>20</v>
      </c>
      <c r="J217">
        <v>2</v>
      </c>
      <c r="K217" t="s">
        <v>44</v>
      </c>
      <c r="L217" t="s">
        <v>25</v>
      </c>
      <c r="M217" t="s">
        <v>19</v>
      </c>
      <c r="N217">
        <v>54</v>
      </c>
      <c r="O217" t="s">
        <v>17</v>
      </c>
    </row>
    <row r="218" spans="1:15" x14ac:dyDescent="0.25">
      <c r="A218">
        <v>217</v>
      </c>
      <c r="B218" t="s">
        <v>13</v>
      </c>
      <c r="C218" t="s">
        <v>21</v>
      </c>
      <c r="D218">
        <v>20000</v>
      </c>
      <c r="E218">
        <v>2</v>
      </c>
      <c r="F218" s="2" t="s">
        <v>45</v>
      </c>
      <c r="G218" t="s">
        <v>33</v>
      </c>
      <c r="H218" t="s">
        <v>23</v>
      </c>
      <c r="I218" t="s">
        <v>17</v>
      </c>
      <c r="J218">
        <v>3</v>
      </c>
      <c r="K218" t="s">
        <v>44</v>
      </c>
      <c r="L218" t="s">
        <v>27</v>
      </c>
      <c r="M218" t="s">
        <v>28</v>
      </c>
      <c r="N218">
        <v>54</v>
      </c>
      <c r="O218" t="s">
        <v>20</v>
      </c>
    </row>
    <row r="219" spans="1:15" x14ac:dyDescent="0.25">
      <c r="A219">
        <v>218</v>
      </c>
      <c r="B219" t="s">
        <v>26</v>
      </c>
      <c r="C219" t="s">
        <v>14</v>
      </c>
      <c r="D219">
        <v>20000</v>
      </c>
      <c r="E219">
        <v>0</v>
      </c>
      <c r="F219" s="2" t="s">
        <v>46</v>
      </c>
      <c r="G219" t="s">
        <v>33</v>
      </c>
      <c r="H219" t="s">
        <v>29</v>
      </c>
      <c r="I219" t="s">
        <v>20</v>
      </c>
      <c r="J219">
        <v>2</v>
      </c>
      <c r="K219" t="s">
        <v>44</v>
      </c>
      <c r="L219" t="s">
        <v>18</v>
      </c>
      <c r="M219" t="s">
        <v>19</v>
      </c>
      <c r="N219">
        <v>25</v>
      </c>
      <c r="O219" t="s">
        <v>20</v>
      </c>
    </row>
    <row r="220" spans="1:15" x14ac:dyDescent="0.25">
      <c r="A220">
        <v>219</v>
      </c>
      <c r="B220" t="s">
        <v>26</v>
      </c>
      <c r="C220" t="s">
        <v>21</v>
      </c>
      <c r="D220">
        <v>10000</v>
      </c>
      <c r="E220">
        <v>1</v>
      </c>
      <c r="F220" s="2" t="s">
        <v>45</v>
      </c>
      <c r="G220" t="s">
        <v>15</v>
      </c>
      <c r="H220" t="s">
        <v>29</v>
      </c>
      <c r="I220" t="s">
        <v>17</v>
      </c>
      <c r="J220">
        <v>0</v>
      </c>
      <c r="K220" t="s">
        <v>43</v>
      </c>
      <c r="L220" t="s">
        <v>18</v>
      </c>
      <c r="M220" t="s">
        <v>19</v>
      </c>
      <c r="N220">
        <v>48</v>
      </c>
      <c r="O220" t="s">
        <v>20</v>
      </c>
    </row>
    <row r="221" spans="1:15" x14ac:dyDescent="0.25">
      <c r="A221">
        <v>220</v>
      </c>
      <c r="B221" t="s">
        <v>26</v>
      </c>
      <c r="C221" t="s">
        <v>21</v>
      </c>
      <c r="D221">
        <v>10000</v>
      </c>
      <c r="E221">
        <v>0</v>
      </c>
      <c r="F221" s="2" t="s">
        <v>46</v>
      </c>
      <c r="G221" t="s">
        <v>22</v>
      </c>
      <c r="H221" t="s">
        <v>29</v>
      </c>
      <c r="I221" t="s">
        <v>17</v>
      </c>
      <c r="J221">
        <v>1</v>
      </c>
      <c r="K221" t="s">
        <v>44</v>
      </c>
      <c r="L221" t="s">
        <v>30</v>
      </c>
      <c r="M221" t="s">
        <v>28</v>
      </c>
      <c r="N221">
        <v>26</v>
      </c>
      <c r="O221" t="s">
        <v>17</v>
      </c>
    </row>
    <row r="222" spans="1:15" x14ac:dyDescent="0.25">
      <c r="A222">
        <v>221</v>
      </c>
      <c r="B222" t="s">
        <v>13</v>
      </c>
      <c r="C222" t="s">
        <v>21</v>
      </c>
      <c r="D222">
        <v>60000</v>
      </c>
      <c r="E222">
        <v>1</v>
      </c>
      <c r="F222" s="2" t="s">
        <v>45</v>
      </c>
      <c r="G222" t="s">
        <v>15</v>
      </c>
      <c r="H222" t="s">
        <v>24</v>
      </c>
      <c r="I222" t="s">
        <v>17</v>
      </c>
      <c r="J222">
        <v>1</v>
      </c>
      <c r="K222" t="s">
        <v>44</v>
      </c>
      <c r="L222" t="s">
        <v>27</v>
      </c>
      <c r="M222" t="s">
        <v>28</v>
      </c>
      <c r="N222">
        <v>43</v>
      </c>
      <c r="O222" t="s">
        <v>17</v>
      </c>
    </row>
    <row r="223" spans="1:15" x14ac:dyDescent="0.25">
      <c r="A223">
        <v>222</v>
      </c>
      <c r="B223" t="s">
        <v>26</v>
      </c>
      <c r="C223" t="s">
        <v>21</v>
      </c>
      <c r="D223">
        <v>10000</v>
      </c>
      <c r="E223">
        <v>0</v>
      </c>
      <c r="F223" s="2" t="s">
        <v>46</v>
      </c>
      <c r="G223" t="s">
        <v>33</v>
      </c>
      <c r="H223" t="s">
        <v>29</v>
      </c>
      <c r="I223" t="s">
        <v>20</v>
      </c>
      <c r="J223">
        <v>2</v>
      </c>
      <c r="K223" t="s">
        <v>44</v>
      </c>
      <c r="L223" t="s">
        <v>30</v>
      </c>
      <c r="M223" t="s">
        <v>19</v>
      </c>
      <c r="N223">
        <v>35</v>
      </c>
      <c r="O223" t="s">
        <v>20</v>
      </c>
    </row>
    <row r="224" spans="1:15" x14ac:dyDescent="0.25">
      <c r="A224">
        <v>223</v>
      </c>
      <c r="B224" t="s">
        <v>13</v>
      </c>
      <c r="C224" t="s">
        <v>14</v>
      </c>
      <c r="D224">
        <v>30000</v>
      </c>
      <c r="E224">
        <v>3</v>
      </c>
      <c r="F224" s="2" t="s">
        <v>45</v>
      </c>
      <c r="G224" t="s">
        <v>22</v>
      </c>
      <c r="H224" t="s">
        <v>23</v>
      </c>
      <c r="I224" t="s">
        <v>20</v>
      </c>
      <c r="J224">
        <v>0</v>
      </c>
      <c r="K224" t="s">
        <v>43</v>
      </c>
      <c r="L224" t="s">
        <v>18</v>
      </c>
      <c r="M224" t="s">
        <v>19</v>
      </c>
      <c r="N224">
        <v>42</v>
      </c>
      <c r="O224" t="s">
        <v>20</v>
      </c>
    </row>
    <row r="225" spans="1:15" x14ac:dyDescent="0.25">
      <c r="A225">
        <v>224</v>
      </c>
      <c r="B225" t="s">
        <v>26</v>
      </c>
      <c r="C225" t="s">
        <v>14</v>
      </c>
      <c r="D225">
        <v>70000</v>
      </c>
      <c r="E225">
        <v>5</v>
      </c>
      <c r="F225" s="2" t="s">
        <v>45</v>
      </c>
      <c r="G225" t="s">
        <v>15</v>
      </c>
      <c r="H225" t="s">
        <v>24</v>
      </c>
      <c r="I225" t="s">
        <v>17</v>
      </c>
      <c r="J225">
        <v>4</v>
      </c>
      <c r="K225" t="s">
        <v>44</v>
      </c>
      <c r="L225" t="s">
        <v>34</v>
      </c>
      <c r="M225" t="s">
        <v>28</v>
      </c>
      <c r="N225">
        <v>39</v>
      </c>
      <c r="O225" t="s">
        <v>20</v>
      </c>
    </row>
    <row r="226" spans="1:15" x14ac:dyDescent="0.25">
      <c r="A226">
        <v>225</v>
      </c>
      <c r="B226" t="s">
        <v>13</v>
      </c>
      <c r="C226" t="s">
        <v>14</v>
      </c>
      <c r="D226">
        <v>30000</v>
      </c>
      <c r="E226">
        <v>2</v>
      </c>
      <c r="F226" s="2" t="s">
        <v>45</v>
      </c>
      <c r="G226" t="s">
        <v>22</v>
      </c>
      <c r="H226" t="s">
        <v>23</v>
      </c>
      <c r="I226" t="s">
        <v>20</v>
      </c>
      <c r="J226">
        <v>2</v>
      </c>
      <c r="K226" t="s">
        <v>44</v>
      </c>
      <c r="L226" t="s">
        <v>18</v>
      </c>
      <c r="M226" t="s">
        <v>28</v>
      </c>
      <c r="N226">
        <v>67</v>
      </c>
      <c r="O226" t="s">
        <v>20</v>
      </c>
    </row>
    <row r="227" spans="1:15" x14ac:dyDescent="0.25">
      <c r="A227">
        <v>226</v>
      </c>
      <c r="B227" t="s">
        <v>13</v>
      </c>
      <c r="C227" t="s">
        <v>21</v>
      </c>
      <c r="D227">
        <v>20000</v>
      </c>
      <c r="E227">
        <v>1</v>
      </c>
      <c r="F227" s="2" t="s">
        <v>45</v>
      </c>
      <c r="G227" t="s">
        <v>22</v>
      </c>
      <c r="H227" t="s">
        <v>29</v>
      </c>
      <c r="I227" t="s">
        <v>17</v>
      </c>
      <c r="J227">
        <v>0</v>
      </c>
      <c r="K227" t="s">
        <v>43</v>
      </c>
      <c r="L227" t="s">
        <v>30</v>
      </c>
      <c r="M227" t="s">
        <v>19</v>
      </c>
      <c r="N227">
        <v>35</v>
      </c>
      <c r="O227" t="s">
        <v>20</v>
      </c>
    </row>
    <row r="228" spans="1:15" x14ac:dyDescent="0.25">
      <c r="A228">
        <v>227</v>
      </c>
      <c r="B228" t="s">
        <v>26</v>
      </c>
      <c r="C228" t="s">
        <v>14</v>
      </c>
      <c r="D228">
        <v>20000</v>
      </c>
      <c r="E228">
        <v>3</v>
      </c>
      <c r="F228" s="2" t="s">
        <v>45</v>
      </c>
      <c r="G228" t="s">
        <v>31</v>
      </c>
      <c r="H228" t="s">
        <v>29</v>
      </c>
      <c r="I228" t="s">
        <v>17</v>
      </c>
      <c r="J228">
        <v>1</v>
      </c>
      <c r="K228" t="s">
        <v>44</v>
      </c>
      <c r="L228" t="s">
        <v>18</v>
      </c>
      <c r="M228" t="s">
        <v>19</v>
      </c>
      <c r="N228">
        <v>42</v>
      </c>
      <c r="O228" t="s">
        <v>17</v>
      </c>
    </row>
    <row r="229" spans="1:15" x14ac:dyDescent="0.25">
      <c r="A229">
        <v>228</v>
      </c>
      <c r="B229" t="s">
        <v>13</v>
      </c>
      <c r="C229" t="s">
        <v>21</v>
      </c>
      <c r="D229">
        <v>10000</v>
      </c>
      <c r="E229">
        <v>3</v>
      </c>
      <c r="F229" s="2" t="s">
        <v>45</v>
      </c>
      <c r="G229" t="s">
        <v>33</v>
      </c>
      <c r="H229" t="s">
        <v>29</v>
      </c>
      <c r="I229" t="s">
        <v>17</v>
      </c>
      <c r="J229">
        <v>2</v>
      </c>
      <c r="K229" t="s">
        <v>44</v>
      </c>
      <c r="L229" t="s">
        <v>18</v>
      </c>
      <c r="M229" t="s">
        <v>19</v>
      </c>
      <c r="N229">
        <v>43</v>
      </c>
      <c r="O229" t="s">
        <v>20</v>
      </c>
    </row>
    <row r="230" spans="1:15" x14ac:dyDescent="0.25">
      <c r="A230">
        <v>229</v>
      </c>
      <c r="B230" t="s">
        <v>13</v>
      </c>
      <c r="C230" t="s">
        <v>14</v>
      </c>
      <c r="D230">
        <v>20000</v>
      </c>
      <c r="E230">
        <v>1</v>
      </c>
      <c r="F230" s="2" t="s">
        <v>45</v>
      </c>
      <c r="G230" t="s">
        <v>35</v>
      </c>
      <c r="H230" t="s">
        <v>23</v>
      </c>
      <c r="I230" t="s">
        <v>17</v>
      </c>
      <c r="J230">
        <v>0</v>
      </c>
      <c r="K230" t="s">
        <v>43</v>
      </c>
      <c r="L230" t="s">
        <v>18</v>
      </c>
      <c r="M230" t="s">
        <v>19</v>
      </c>
      <c r="N230">
        <v>45</v>
      </c>
      <c r="O230" t="s">
        <v>20</v>
      </c>
    </row>
    <row r="231" spans="1:15" x14ac:dyDescent="0.25">
      <c r="A231">
        <v>230</v>
      </c>
      <c r="B231" t="s">
        <v>26</v>
      </c>
      <c r="C231" t="s">
        <v>21</v>
      </c>
      <c r="D231">
        <v>80000</v>
      </c>
      <c r="E231">
        <v>5</v>
      </c>
      <c r="F231" s="2" t="s">
        <v>45</v>
      </c>
      <c r="G231" t="s">
        <v>31</v>
      </c>
      <c r="H231" t="s">
        <v>32</v>
      </c>
      <c r="I231" t="s">
        <v>17</v>
      </c>
      <c r="J231">
        <v>3</v>
      </c>
      <c r="K231" t="s">
        <v>44</v>
      </c>
      <c r="L231" t="s">
        <v>34</v>
      </c>
      <c r="M231" t="s">
        <v>19</v>
      </c>
      <c r="N231">
        <v>57</v>
      </c>
      <c r="O231" t="s">
        <v>20</v>
      </c>
    </row>
    <row r="232" spans="1:15" x14ac:dyDescent="0.25">
      <c r="A232">
        <v>231</v>
      </c>
      <c r="B232" t="s">
        <v>13</v>
      </c>
      <c r="C232" t="s">
        <v>21</v>
      </c>
      <c r="D232">
        <v>120000</v>
      </c>
      <c r="E232">
        <v>4</v>
      </c>
      <c r="F232" s="2" t="s">
        <v>45</v>
      </c>
      <c r="G232" t="s">
        <v>22</v>
      </c>
      <c r="H232" t="s">
        <v>32</v>
      </c>
      <c r="I232" t="s">
        <v>17</v>
      </c>
      <c r="J232">
        <v>3</v>
      </c>
      <c r="K232" t="s">
        <v>44</v>
      </c>
      <c r="L232" t="s">
        <v>34</v>
      </c>
      <c r="M232" t="s">
        <v>19</v>
      </c>
      <c r="N232">
        <v>56</v>
      </c>
      <c r="O232" t="s">
        <v>20</v>
      </c>
    </row>
    <row r="233" spans="1:15" x14ac:dyDescent="0.25">
      <c r="A233">
        <v>232</v>
      </c>
      <c r="B233" t="s">
        <v>13</v>
      </c>
      <c r="C233" t="s">
        <v>14</v>
      </c>
      <c r="D233">
        <v>40000</v>
      </c>
      <c r="E233">
        <v>0</v>
      </c>
      <c r="F233" s="2" t="s">
        <v>46</v>
      </c>
      <c r="G233" t="s">
        <v>15</v>
      </c>
      <c r="H233" t="s">
        <v>23</v>
      </c>
      <c r="I233" t="s">
        <v>17</v>
      </c>
      <c r="J233">
        <v>0</v>
      </c>
      <c r="K233" t="s">
        <v>43</v>
      </c>
      <c r="L233" t="s">
        <v>18</v>
      </c>
      <c r="M233" t="s">
        <v>19</v>
      </c>
      <c r="N233">
        <v>38</v>
      </c>
      <c r="O233" t="s">
        <v>17</v>
      </c>
    </row>
    <row r="234" spans="1:15" x14ac:dyDescent="0.25">
      <c r="A234">
        <v>233</v>
      </c>
      <c r="B234" t="s">
        <v>13</v>
      </c>
      <c r="C234" t="s">
        <v>14</v>
      </c>
      <c r="D234">
        <v>30000</v>
      </c>
      <c r="E234">
        <v>4</v>
      </c>
      <c r="F234" s="2" t="s">
        <v>45</v>
      </c>
      <c r="G234" t="s">
        <v>35</v>
      </c>
      <c r="H234" t="s">
        <v>23</v>
      </c>
      <c r="I234" t="s">
        <v>17</v>
      </c>
      <c r="J234">
        <v>0</v>
      </c>
      <c r="K234" t="s">
        <v>43</v>
      </c>
      <c r="L234" t="s">
        <v>18</v>
      </c>
      <c r="M234" t="s">
        <v>19</v>
      </c>
      <c r="N234">
        <v>45</v>
      </c>
      <c r="O234" t="s">
        <v>20</v>
      </c>
    </row>
    <row r="235" spans="1:15" x14ac:dyDescent="0.25">
      <c r="A235">
        <v>234</v>
      </c>
      <c r="B235" t="s">
        <v>13</v>
      </c>
      <c r="C235" t="s">
        <v>21</v>
      </c>
      <c r="D235">
        <v>20000</v>
      </c>
      <c r="E235">
        <v>0</v>
      </c>
      <c r="F235" s="2" t="s">
        <v>46</v>
      </c>
      <c r="G235" t="s">
        <v>15</v>
      </c>
      <c r="H235" t="s">
        <v>23</v>
      </c>
      <c r="I235" t="s">
        <v>17</v>
      </c>
      <c r="J235">
        <v>0</v>
      </c>
      <c r="K235" t="s">
        <v>43</v>
      </c>
      <c r="L235" t="s">
        <v>18</v>
      </c>
      <c r="M235" t="s">
        <v>28</v>
      </c>
      <c r="N235">
        <v>27</v>
      </c>
      <c r="O235" t="s">
        <v>17</v>
      </c>
    </row>
    <row r="236" spans="1:15" x14ac:dyDescent="0.25">
      <c r="A236">
        <v>235</v>
      </c>
      <c r="B236" t="s">
        <v>26</v>
      </c>
      <c r="C236" t="s">
        <v>21</v>
      </c>
      <c r="D236">
        <v>90000</v>
      </c>
      <c r="E236">
        <v>0</v>
      </c>
      <c r="F236" s="2" t="s">
        <v>46</v>
      </c>
      <c r="G236" t="s">
        <v>15</v>
      </c>
      <c r="H236" t="s">
        <v>24</v>
      </c>
      <c r="I236" t="s">
        <v>20</v>
      </c>
      <c r="J236">
        <v>4</v>
      </c>
      <c r="K236" t="s">
        <v>44</v>
      </c>
      <c r="L236" t="s">
        <v>34</v>
      </c>
      <c r="M236" t="s">
        <v>28</v>
      </c>
      <c r="N236">
        <v>35</v>
      </c>
      <c r="O236" t="s">
        <v>17</v>
      </c>
    </row>
    <row r="237" spans="1:15" x14ac:dyDescent="0.25">
      <c r="A237">
        <v>236</v>
      </c>
      <c r="B237" t="s">
        <v>13</v>
      </c>
      <c r="C237" t="s">
        <v>14</v>
      </c>
      <c r="D237">
        <v>10000</v>
      </c>
      <c r="E237">
        <v>1</v>
      </c>
      <c r="F237" s="2" t="s">
        <v>45</v>
      </c>
      <c r="G237" t="s">
        <v>35</v>
      </c>
      <c r="H237" t="s">
        <v>23</v>
      </c>
      <c r="I237" t="s">
        <v>17</v>
      </c>
      <c r="J237">
        <v>0</v>
      </c>
      <c r="K237" t="s">
        <v>43</v>
      </c>
      <c r="L237" t="s">
        <v>18</v>
      </c>
      <c r="M237" t="s">
        <v>19</v>
      </c>
      <c r="N237">
        <v>70</v>
      </c>
      <c r="O237" t="s">
        <v>17</v>
      </c>
    </row>
    <row r="238" spans="1:15" x14ac:dyDescent="0.25">
      <c r="A238">
        <v>237</v>
      </c>
      <c r="B238" t="s">
        <v>26</v>
      </c>
      <c r="C238" t="s">
        <v>14</v>
      </c>
      <c r="D238">
        <v>30000</v>
      </c>
      <c r="E238">
        <v>5</v>
      </c>
      <c r="F238" s="2" t="s">
        <v>45</v>
      </c>
      <c r="G238" t="s">
        <v>35</v>
      </c>
      <c r="H238" t="s">
        <v>23</v>
      </c>
      <c r="I238" t="s">
        <v>17</v>
      </c>
      <c r="J238">
        <v>0</v>
      </c>
      <c r="K238" t="s">
        <v>43</v>
      </c>
      <c r="L238" t="s">
        <v>18</v>
      </c>
      <c r="M238" t="s">
        <v>19</v>
      </c>
      <c r="N238">
        <v>44</v>
      </c>
      <c r="O238" t="s">
        <v>17</v>
      </c>
    </row>
    <row r="239" spans="1:15" x14ac:dyDescent="0.25">
      <c r="A239">
        <v>238</v>
      </c>
      <c r="B239" t="s">
        <v>13</v>
      </c>
      <c r="C239" t="s">
        <v>14</v>
      </c>
      <c r="D239">
        <v>10000</v>
      </c>
      <c r="E239">
        <v>0</v>
      </c>
      <c r="F239" s="2" t="s">
        <v>46</v>
      </c>
      <c r="G239" t="s">
        <v>22</v>
      </c>
      <c r="H239" t="s">
        <v>29</v>
      </c>
      <c r="I239" t="s">
        <v>20</v>
      </c>
      <c r="J239">
        <v>1</v>
      </c>
      <c r="K239" t="s">
        <v>44</v>
      </c>
      <c r="L239" t="s">
        <v>18</v>
      </c>
      <c r="M239" t="s">
        <v>28</v>
      </c>
      <c r="N239">
        <v>26</v>
      </c>
      <c r="O239" t="s">
        <v>17</v>
      </c>
    </row>
    <row r="240" spans="1:15" x14ac:dyDescent="0.25">
      <c r="A240">
        <v>239</v>
      </c>
      <c r="B240" t="s">
        <v>13</v>
      </c>
      <c r="C240" t="s">
        <v>21</v>
      </c>
      <c r="D240">
        <v>70000</v>
      </c>
      <c r="E240">
        <v>5</v>
      </c>
      <c r="F240" s="2" t="s">
        <v>45</v>
      </c>
      <c r="G240" t="s">
        <v>22</v>
      </c>
      <c r="H240" t="s">
        <v>16</v>
      </c>
      <c r="I240" t="s">
        <v>17</v>
      </c>
      <c r="J240">
        <v>3</v>
      </c>
      <c r="K240" t="s">
        <v>44</v>
      </c>
      <c r="L240" t="s">
        <v>27</v>
      </c>
      <c r="M240" t="s">
        <v>28</v>
      </c>
      <c r="N240">
        <v>46</v>
      </c>
      <c r="O240" t="s">
        <v>20</v>
      </c>
    </row>
    <row r="241" spans="1:15" x14ac:dyDescent="0.25">
      <c r="A241">
        <v>240</v>
      </c>
      <c r="B241" t="s">
        <v>26</v>
      </c>
      <c r="C241" t="s">
        <v>14</v>
      </c>
      <c r="D241">
        <v>30000</v>
      </c>
      <c r="E241">
        <v>0</v>
      </c>
      <c r="F241" s="2" t="s">
        <v>46</v>
      </c>
      <c r="G241" t="s">
        <v>31</v>
      </c>
      <c r="H241" t="s">
        <v>29</v>
      </c>
      <c r="I241" t="s">
        <v>20</v>
      </c>
      <c r="J241">
        <v>1</v>
      </c>
      <c r="K241" t="s">
        <v>44</v>
      </c>
      <c r="L241" t="s">
        <v>25</v>
      </c>
      <c r="M241" t="s">
        <v>19</v>
      </c>
      <c r="N241">
        <v>34</v>
      </c>
      <c r="O241" t="s">
        <v>17</v>
      </c>
    </row>
    <row r="242" spans="1:15" x14ac:dyDescent="0.25">
      <c r="A242">
        <v>241</v>
      </c>
      <c r="B242" t="s">
        <v>13</v>
      </c>
      <c r="C242" t="s">
        <v>21</v>
      </c>
      <c r="D242">
        <v>10000</v>
      </c>
      <c r="E242">
        <v>1</v>
      </c>
      <c r="F242" s="2" t="s">
        <v>45</v>
      </c>
      <c r="G242" t="s">
        <v>35</v>
      </c>
      <c r="H242" t="s">
        <v>29</v>
      </c>
      <c r="I242" t="s">
        <v>17</v>
      </c>
      <c r="J242">
        <v>0</v>
      </c>
      <c r="K242" t="s">
        <v>43</v>
      </c>
      <c r="L242" t="s">
        <v>18</v>
      </c>
      <c r="M242" t="s">
        <v>19</v>
      </c>
      <c r="N242">
        <v>37</v>
      </c>
      <c r="O242" t="s">
        <v>20</v>
      </c>
    </row>
    <row r="243" spans="1:15" x14ac:dyDescent="0.25">
      <c r="A243">
        <v>242</v>
      </c>
      <c r="B243" t="s">
        <v>26</v>
      </c>
      <c r="C243" t="s">
        <v>14</v>
      </c>
      <c r="D243">
        <v>30000</v>
      </c>
      <c r="E243">
        <v>3</v>
      </c>
      <c r="F243" s="2" t="s">
        <v>45</v>
      </c>
      <c r="G243" t="s">
        <v>22</v>
      </c>
      <c r="H243" t="s">
        <v>23</v>
      </c>
      <c r="I243" t="s">
        <v>17</v>
      </c>
      <c r="J243">
        <v>2</v>
      </c>
      <c r="K243" t="s">
        <v>44</v>
      </c>
      <c r="L243" t="s">
        <v>18</v>
      </c>
      <c r="M243" t="s">
        <v>19</v>
      </c>
      <c r="N243">
        <v>27</v>
      </c>
      <c r="O243" t="s">
        <v>20</v>
      </c>
    </row>
    <row r="244" spans="1:15" x14ac:dyDescent="0.25">
      <c r="A244">
        <v>243</v>
      </c>
      <c r="B244" t="s">
        <v>26</v>
      </c>
      <c r="C244" t="s">
        <v>21</v>
      </c>
      <c r="D244">
        <v>30000</v>
      </c>
      <c r="E244">
        <v>1</v>
      </c>
      <c r="F244" s="2" t="s">
        <v>45</v>
      </c>
      <c r="G244" t="s">
        <v>15</v>
      </c>
      <c r="H244" t="s">
        <v>23</v>
      </c>
      <c r="I244" t="s">
        <v>20</v>
      </c>
      <c r="J244">
        <v>1</v>
      </c>
      <c r="K244" t="s">
        <v>44</v>
      </c>
      <c r="L244" t="s">
        <v>18</v>
      </c>
      <c r="M244" t="s">
        <v>19</v>
      </c>
      <c r="N244">
        <v>39</v>
      </c>
      <c r="O244" t="s">
        <v>17</v>
      </c>
    </row>
    <row r="245" spans="1:15" x14ac:dyDescent="0.25">
      <c r="A245">
        <v>244</v>
      </c>
      <c r="B245" t="s">
        <v>26</v>
      </c>
      <c r="C245" t="s">
        <v>14</v>
      </c>
      <c r="D245">
        <v>20000</v>
      </c>
      <c r="E245">
        <v>0</v>
      </c>
      <c r="F245" s="2" t="s">
        <v>46</v>
      </c>
      <c r="G245" t="s">
        <v>31</v>
      </c>
      <c r="H245" t="s">
        <v>29</v>
      </c>
      <c r="I245" t="s">
        <v>20</v>
      </c>
      <c r="J245">
        <v>1</v>
      </c>
      <c r="K245" t="s">
        <v>44</v>
      </c>
      <c r="L245" t="s">
        <v>25</v>
      </c>
      <c r="M245" t="s">
        <v>19</v>
      </c>
      <c r="N245">
        <v>29</v>
      </c>
      <c r="O245" t="s">
        <v>20</v>
      </c>
    </row>
    <row r="246" spans="1:15" x14ac:dyDescent="0.25">
      <c r="A246">
        <v>245</v>
      </c>
      <c r="B246" t="s">
        <v>13</v>
      </c>
      <c r="C246" t="s">
        <v>14</v>
      </c>
      <c r="D246">
        <v>120000</v>
      </c>
      <c r="E246">
        <v>3</v>
      </c>
      <c r="F246" s="2" t="s">
        <v>45</v>
      </c>
      <c r="G246" t="s">
        <v>15</v>
      </c>
      <c r="H246" t="s">
        <v>32</v>
      </c>
      <c r="I246" t="s">
        <v>20</v>
      </c>
      <c r="J246">
        <v>2</v>
      </c>
      <c r="K246" t="s">
        <v>44</v>
      </c>
      <c r="L246" t="s">
        <v>34</v>
      </c>
      <c r="M246" t="s">
        <v>19</v>
      </c>
      <c r="N246">
        <v>52</v>
      </c>
      <c r="O246" t="s">
        <v>17</v>
      </c>
    </row>
    <row r="247" spans="1:15" x14ac:dyDescent="0.25">
      <c r="A247">
        <v>246</v>
      </c>
      <c r="B247" t="s">
        <v>13</v>
      </c>
      <c r="C247" t="s">
        <v>21</v>
      </c>
      <c r="D247">
        <v>110000</v>
      </c>
      <c r="E247">
        <v>5</v>
      </c>
      <c r="F247" s="2" t="s">
        <v>45</v>
      </c>
      <c r="G247" t="s">
        <v>15</v>
      </c>
      <c r="H247" t="s">
        <v>32</v>
      </c>
      <c r="I247" t="s">
        <v>17</v>
      </c>
      <c r="J247">
        <v>4</v>
      </c>
      <c r="K247" t="s">
        <v>44</v>
      </c>
      <c r="L247" t="s">
        <v>25</v>
      </c>
      <c r="M247" t="s">
        <v>28</v>
      </c>
      <c r="N247">
        <v>48</v>
      </c>
      <c r="O247" t="s">
        <v>17</v>
      </c>
    </row>
    <row r="248" spans="1:15" x14ac:dyDescent="0.25">
      <c r="A248">
        <v>247</v>
      </c>
      <c r="B248" t="s">
        <v>13</v>
      </c>
      <c r="C248" t="s">
        <v>14</v>
      </c>
      <c r="D248">
        <v>130000</v>
      </c>
      <c r="E248">
        <v>3</v>
      </c>
      <c r="F248" s="2" t="s">
        <v>45</v>
      </c>
      <c r="G248" t="s">
        <v>22</v>
      </c>
      <c r="H248" t="s">
        <v>24</v>
      </c>
      <c r="I248" t="s">
        <v>17</v>
      </c>
      <c r="J248">
        <v>3</v>
      </c>
      <c r="K248" t="s">
        <v>44</v>
      </c>
      <c r="L248" t="s">
        <v>18</v>
      </c>
      <c r="M248" t="s">
        <v>19</v>
      </c>
      <c r="N248">
        <v>51</v>
      </c>
      <c r="O248" t="s">
        <v>17</v>
      </c>
    </row>
    <row r="249" spans="1:15" x14ac:dyDescent="0.25">
      <c r="A249">
        <v>248</v>
      </c>
      <c r="B249" t="s">
        <v>13</v>
      </c>
      <c r="C249" t="s">
        <v>14</v>
      </c>
      <c r="D249">
        <v>100000</v>
      </c>
      <c r="E249">
        <v>0</v>
      </c>
      <c r="F249" s="2" t="s">
        <v>46</v>
      </c>
      <c r="G249" t="s">
        <v>31</v>
      </c>
      <c r="H249" t="s">
        <v>32</v>
      </c>
      <c r="I249" t="s">
        <v>17</v>
      </c>
      <c r="J249">
        <v>4</v>
      </c>
      <c r="K249" t="s">
        <v>44</v>
      </c>
      <c r="L249" t="s">
        <v>34</v>
      </c>
      <c r="M249" t="s">
        <v>28</v>
      </c>
      <c r="N249">
        <v>34</v>
      </c>
      <c r="O249" t="s">
        <v>17</v>
      </c>
    </row>
    <row r="250" spans="1:15" x14ac:dyDescent="0.25">
      <c r="A250">
        <v>249</v>
      </c>
      <c r="B250" t="s">
        <v>13</v>
      </c>
      <c r="C250" t="s">
        <v>14</v>
      </c>
      <c r="D250">
        <v>10000</v>
      </c>
      <c r="E250">
        <v>5</v>
      </c>
      <c r="F250" s="2" t="s">
        <v>45</v>
      </c>
      <c r="G250" t="s">
        <v>31</v>
      </c>
      <c r="H250" t="s">
        <v>16</v>
      </c>
      <c r="I250" t="s">
        <v>20</v>
      </c>
      <c r="J250">
        <v>3</v>
      </c>
      <c r="K250" t="s">
        <v>44</v>
      </c>
      <c r="L250" t="s">
        <v>30</v>
      </c>
      <c r="M250" t="s">
        <v>28</v>
      </c>
      <c r="N250">
        <v>62</v>
      </c>
      <c r="O250" t="s">
        <v>20</v>
      </c>
    </row>
    <row r="251" spans="1:15" x14ac:dyDescent="0.25">
      <c r="A251">
        <v>250</v>
      </c>
      <c r="B251" t="s">
        <v>26</v>
      </c>
      <c r="C251" t="s">
        <v>21</v>
      </c>
      <c r="D251">
        <v>70000</v>
      </c>
      <c r="E251">
        <v>0</v>
      </c>
      <c r="F251" s="2" t="s">
        <v>46</v>
      </c>
      <c r="G251" t="s">
        <v>15</v>
      </c>
      <c r="H251" t="s">
        <v>24</v>
      </c>
      <c r="I251" t="s">
        <v>17</v>
      </c>
      <c r="J251">
        <v>1</v>
      </c>
      <c r="K251" t="s">
        <v>44</v>
      </c>
      <c r="L251" t="s">
        <v>27</v>
      </c>
      <c r="M251" t="s">
        <v>28</v>
      </c>
      <c r="N251">
        <v>37</v>
      </c>
      <c r="O251" t="s">
        <v>17</v>
      </c>
    </row>
    <row r="252" spans="1:15" x14ac:dyDescent="0.25">
      <c r="A252">
        <v>251</v>
      </c>
      <c r="B252" t="s">
        <v>13</v>
      </c>
      <c r="C252" t="s">
        <v>21</v>
      </c>
      <c r="D252">
        <v>100000</v>
      </c>
      <c r="E252">
        <v>5</v>
      </c>
      <c r="F252" s="2" t="s">
        <v>45</v>
      </c>
      <c r="G252" t="s">
        <v>35</v>
      </c>
      <c r="H252" t="s">
        <v>32</v>
      </c>
      <c r="I252" t="s">
        <v>20</v>
      </c>
      <c r="J252">
        <v>1</v>
      </c>
      <c r="K252" t="s">
        <v>44</v>
      </c>
      <c r="L252" t="s">
        <v>30</v>
      </c>
      <c r="M252" t="s">
        <v>28</v>
      </c>
      <c r="N252">
        <v>78</v>
      </c>
      <c r="O252" t="s">
        <v>17</v>
      </c>
    </row>
    <row r="253" spans="1:15" x14ac:dyDescent="0.25">
      <c r="A253">
        <v>252</v>
      </c>
      <c r="B253" t="s">
        <v>13</v>
      </c>
      <c r="C253" t="s">
        <v>21</v>
      </c>
      <c r="D253">
        <v>130000</v>
      </c>
      <c r="E253">
        <v>4</v>
      </c>
      <c r="F253" s="2" t="s">
        <v>45</v>
      </c>
      <c r="G253" t="s">
        <v>31</v>
      </c>
      <c r="H253" t="s">
        <v>24</v>
      </c>
      <c r="I253" t="s">
        <v>17</v>
      </c>
      <c r="J253">
        <v>3</v>
      </c>
      <c r="K253" t="s">
        <v>44</v>
      </c>
      <c r="L253" t="s">
        <v>18</v>
      </c>
      <c r="M253" t="s">
        <v>19</v>
      </c>
      <c r="N253">
        <v>55</v>
      </c>
      <c r="O253" t="s">
        <v>20</v>
      </c>
    </row>
    <row r="254" spans="1:15" x14ac:dyDescent="0.25">
      <c r="A254">
        <v>253</v>
      </c>
      <c r="B254" t="s">
        <v>26</v>
      </c>
      <c r="C254" t="s">
        <v>21</v>
      </c>
      <c r="D254">
        <v>60000</v>
      </c>
      <c r="E254">
        <v>0</v>
      </c>
      <c r="F254" s="2" t="s">
        <v>46</v>
      </c>
      <c r="G254" t="s">
        <v>15</v>
      </c>
      <c r="H254" t="s">
        <v>24</v>
      </c>
      <c r="I254" t="s">
        <v>20</v>
      </c>
      <c r="J254">
        <v>4</v>
      </c>
      <c r="K254" t="s">
        <v>44</v>
      </c>
      <c r="L254" t="s">
        <v>25</v>
      </c>
      <c r="M254" t="s">
        <v>28</v>
      </c>
      <c r="N254">
        <v>31</v>
      </c>
      <c r="O254" t="s">
        <v>20</v>
      </c>
    </row>
    <row r="255" spans="1:15" x14ac:dyDescent="0.25">
      <c r="A255">
        <v>254</v>
      </c>
      <c r="B255" t="s">
        <v>13</v>
      </c>
      <c r="C255" t="s">
        <v>21</v>
      </c>
      <c r="D255">
        <v>100000</v>
      </c>
      <c r="E255">
        <v>3</v>
      </c>
      <c r="F255" s="2" t="s">
        <v>45</v>
      </c>
      <c r="G255" t="s">
        <v>33</v>
      </c>
      <c r="H255" t="s">
        <v>24</v>
      </c>
      <c r="I255" t="s">
        <v>17</v>
      </c>
      <c r="J255">
        <v>0</v>
      </c>
      <c r="K255" t="s">
        <v>43</v>
      </c>
      <c r="L255" t="s">
        <v>34</v>
      </c>
      <c r="M255" t="s">
        <v>19</v>
      </c>
      <c r="N255">
        <v>59</v>
      </c>
      <c r="O255" t="s">
        <v>17</v>
      </c>
    </row>
    <row r="256" spans="1:15" x14ac:dyDescent="0.25">
      <c r="A256">
        <v>255</v>
      </c>
      <c r="B256" t="s">
        <v>26</v>
      </c>
      <c r="C256" t="s">
        <v>21</v>
      </c>
      <c r="D256">
        <v>20000</v>
      </c>
      <c r="E256">
        <v>2</v>
      </c>
      <c r="F256" s="2" t="s">
        <v>45</v>
      </c>
      <c r="G256" t="s">
        <v>33</v>
      </c>
      <c r="H256" t="s">
        <v>23</v>
      </c>
      <c r="I256" t="s">
        <v>17</v>
      </c>
      <c r="J256">
        <v>2</v>
      </c>
      <c r="K256" t="s">
        <v>44</v>
      </c>
      <c r="L256" t="s">
        <v>27</v>
      </c>
      <c r="M256" t="s">
        <v>28</v>
      </c>
      <c r="N256">
        <v>57</v>
      </c>
      <c r="O256" t="s">
        <v>20</v>
      </c>
    </row>
    <row r="257" spans="1:15" x14ac:dyDescent="0.25">
      <c r="A257">
        <v>256</v>
      </c>
      <c r="B257" t="s">
        <v>26</v>
      </c>
      <c r="C257" t="s">
        <v>14</v>
      </c>
      <c r="D257">
        <v>30000</v>
      </c>
      <c r="E257">
        <v>3</v>
      </c>
      <c r="F257" s="2" t="s">
        <v>45</v>
      </c>
      <c r="G257" t="s">
        <v>35</v>
      </c>
      <c r="H257" t="s">
        <v>23</v>
      </c>
      <c r="I257" t="s">
        <v>17</v>
      </c>
      <c r="J257">
        <v>0</v>
      </c>
      <c r="K257" t="s">
        <v>43</v>
      </c>
      <c r="L257" t="s">
        <v>18</v>
      </c>
      <c r="M257" t="s">
        <v>19</v>
      </c>
      <c r="N257">
        <v>47</v>
      </c>
      <c r="O257" t="s">
        <v>17</v>
      </c>
    </row>
    <row r="258" spans="1:15" x14ac:dyDescent="0.25">
      <c r="A258">
        <v>257</v>
      </c>
      <c r="B258" t="s">
        <v>13</v>
      </c>
      <c r="C258" t="s">
        <v>21</v>
      </c>
      <c r="D258">
        <v>20000</v>
      </c>
      <c r="E258">
        <v>1</v>
      </c>
      <c r="F258" s="2" t="s">
        <v>45</v>
      </c>
      <c r="G258" t="s">
        <v>35</v>
      </c>
      <c r="H258" t="s">
        <v>23</v>
      </c>
      <c r="I258" t="s">
        <v>17</v>
      </c>
      <c r="J258">
        <v>0</v>
      </c>
      <c r="K258" t="s">
        <v>43</v>
      </c>
      <c r="L258" t="s">
        <v>18</v>
      </c>
      <c r="M258" t="s">
        <v>19</v>
      </c>
      <c r="N258">
        <v>43</v>
      </c>
      <c r="O258" t="s">
        <v>20</v>
      </c>
    </row>
    <row r="259" spans="1:15" x14ac:dyDescent="0.25">
      <c r="A259">
        <v>258</v>
      </c>
      <c r="B259" t="s">
        <v>26</v>
      </c>
      <c r="C259" t="s">
        <v>14</v>
      </c>
      <c r="D259">
        <v>50000</v>
      </c>
      <c r="E259">
        <v>0</v>
      </c>
      <c r="F259" s="2" t="s">
        <v>46</v>
      </c>
      <c r="G259" t="s">
        <v>35</v>
      </c>
      <c r="H259" t="s">
        <v>16</v>
      </c>
      <c r="I259" t="s">
        <v>17</v>
      </c>
      <c r="J259">
        <v>0</v>
      </c>
      <c r="K259" t="s">
        <v>43</v>
      </c>
      <c r="L259" t="s">
        <v>18</v>
      </c>
      <c r="M259" t="s">
        <v>19</v>
      </c>
      <c r="N259">
        <v>36</v>
      </c>
      <c r="O259" t="s">
        <v>17</v>
      </c>
    </row>
    <row r="260" spans="1:15" x14ac:dyDescent="0.25">
      <c r="A260">
        <v>259</v>
      </c>
      <c r="B260" t="s">
        <v>26</v>
      </c>
      <c r="C260" t="s">
        <v>14</v>
      </c>
      <c r="D260">
        <v>100000</v>
      </c>
      <c r="E260">
        <v>3</v>
      </c>
      <c r="F260" s="2" t="s">
        <v>45</v>
      </c>
      <c r="G260" t="s">
        <v>22</v>
      </c>
      <c r="H260" t="s">
        <v>32</v>
      </c>
      <c r="I260" t="s">
        <v>17</v>
      </c>
      <c r="J260">
        <v>4</v>
      </c>
      <c r="K260" t="s">
        <v>44</v>
      </c>
      <c r="L260" t="s">
        <v>34</v>
      </c>
      <c r="M260" t="s">
        <v>19</v>
      </c>
      <c r="N260">
        <v>56</v>
      </c>
      <c r="O260" t="s">
        <v>20</v>
      </c>
    </row>
    <row r="261" spans="1:15" x14ac:dyDescent="0.25">
      <c r="A261">
        <v>260</v>
      </c>
      <c r="B261" t="s">
        <v>13</v>
      </c>
      <c r="C261" t="s">
        <v>21</v>
      </c>
      <c r="D261">
        <v>150000</v>
      </c>
      <c r="E261">
        <v>0</v>
      </c>
      <c r="F261" s="2" t="s">
        <v>46</v>
      </c>
      <c r="G261" t="s">
        <v>15</v>
      </c>
      <c r="H261" t="s">
        <v>32</v>
      </c>
      <c r="I261" t="s">
        <v>17</v>
      </c>
      <c r="J261">
        <v>4</v>
      </c>
      <c r="K261" t="s">
        <v>44</v>
      </c>
      <c r="L261" t="s">
        <v>18</v>
      </c>
      <c r="M261" t="s">
        <v>28</v>
      </c>
      <c r="N261">
        <v>37</v>
      </c>
      <c r="O261" t="s">
        <v>17</v>
      </c>
    </row>
    <row r="262" spans="1:15" x14ac:dyDescent="0.25">
      <c r="A262">
        <v>261</v>
      </c>
      <c r="B262" t="s">
        <v>26</v>
      </c>
      <c r="C262" t="s">
        <v>14</v>
      </c>
      <c r="D262">
        <v>30000</v>
      </c>
      <c r="E262">
        <v>2</v>
      </c>
      <c r="F262" s="2" t="s">
        <v>45</v>
      </c>
      <c r="G262" t="s">
        <v>22</v>
      </c>
      <c r="H262" t="s">
        <v>23</v>
      </c>
      <c r="I262" t="s">
        <v>17</v>
      </c>
      <c r="J262">
        <v>0</v>
      </c>
      <c r="K262" t="s">
        <v>43</v>
      </c>
      <c r="L262" t="s">
        <v>18</v>
      </c>
      <c r="M262" t="s">
        <v>19</v>
      </c>
      <c r="N262">
        <v>43</v>
      </c>
      <c r="O262" t="s">
        <v>20</v>
      </c>
    </row>
    <row r="263" spans="1:15" x14ac:dyDescent="0.25">
      <c r="A263">
        <v>262</v>
      </c>
      <c r="B263" t="s">
        <v>13</v>
      </c>
      <c r="C263" t="s">
        <v>14</v>
      </c>
      <c r="D263">
        <v>40000</v>
      </c>
      <c r="E263">
        <v>1</v>
      </c>
      <c r="F263" s="2" t="s">
        <v>45</v>
      </c>
      <c r="G263" t="s">
        <v>15</v>
      </c>
      <c r="H263" t="s">
        <v>16</v>
      </c>
      <c r="I263" t="s">
        <v>17</v>
      </c>
      <c r="J263">
        <v>1</v>
      </c>
      <c r="K263" t="s">
        <v>44</v>
      </c>
      <c r="L263" t="s">
        <v>30</v>
      </c>
      <c r="M263" t="s">
        <v>19</v>
      </c>
      <c r="N263">
        <v>33</v>
      </c>
      <c r="O263" t="s">
        <v>17</v>
      </c>
    </row>
    <row r="264" spans="1:15" x14ac:dyDescent="0.25">
      <c r="A264">
        <v>263</v>
      </c>
      <c r="B264" t="s">
        <v>13</v>
      </c>
      <c r="C264" t="s">
        <v>14</v>
      </c>
      <c r="D264">
        <v>10000</v>
      </c>
      <c r="E264">
        <v>2</v>
      </c>
      <c r="F264" s="2" t="s">
        <v>45</v>
      </c>
      <c r="G264" t="s">
        <v>22</v>
      </c>
      <c r="H264" t="s">
        <v>29</v>
      </c>
      <c r="I264" t="s">
        <v>17</v>
      </c>
      <c r="J264">
        <v>0</v>
      </c>
      <c r="K264" t="s">
        <v>43</v>
      </c>
      <c r="L264" t="s">
        <v>30</v>
      </c>
      <c r="M264" t="s">
        <v>19</v>
      </c>
      <c r="N264">
        <v>51</v>
      </c>
      <c r="O264" t="s">
        <v>20</v>
      </c>
    </row>
    <row r="265" spans="1:15" x14ac:dyDescent="0.25">
      <c r="A265">
        <v>264</v>
      </c>
      <c r="B265" t="s">
        <v>26</v>
      </c>
      <c r="C265" t="s">
        <v>14</v>
      </c>
      <c r="D265">
        <v>70000</v>
      </c>
      <c r="E265">
        <v>5</v>
      </c>
      <c r="F265" s="2" t="s">
        <v>45</v>
      </c>
      <c r="G265" t="s">
        <v>15</v>
      </c>
      <c r="H265" t="s">
        <v>24</v>
      </c>
      <c r="I265" t="s">
        <v>17</v>
      </c>
      <c r="J265">
        <v>3</v>
      </c>
      <c r="K265" t="s">
        <v>44</v>
      </c>
      <c r="L265" t="s">
        <v>34</v>
      </c>
      <c r="M265" t="s">
        <v>28</v>
      </c>
      <c r="N265">
        <v>39</v>
      </c>
      <c r="O265" t="s">
        <v>20</v>
      </c>
    </row>
    <row r="266" spans="1:15" x14ac:dyDescent="0.25">
      <c r="A266">
        <v>265</v>
      </c>
      <c r="B266" t="s">
        <v>13</v>
      </c>
      <c r="C266" t="s">
        <v>21</v>
      </c>
      <c r="D266">
        <v>40000</v>
      </c>
      <c r="E266">
        <v>0</v>
      </c>
      <c r="F266" s="2" t="s">
        <v>46</v>
      </c>
      <c r="G266" t="s">
        <v>35</v>
      </c>
      <c r="H266" t="s">
        <v>23</v>
      </c>
      <c r="I266" t="s">
        <v>17</v>
      </c>
      <c r="J266">
        <v>0</v>
      </c>
      <c r="K266" t="s">
        <v>43</v>
      </c>
      <c r="L266" t="s">
        <v>18</v>
      </c>
      <c r="M266" t="s">
        <v>19</v>
      </c>
      <c r="N266">
        <v>37</v>
      </c>
      <c r="O266" t="s">
        <v>17</v>
      </c>
    </row>
    <row r="267" spans="1:15" x14ac:dyDescent="0.25">
      <c r="A267">
        <v>266</v>
      </c>
      <c r="B267" t="s">
        <v>26</v>
      </c>
      <c r="C267" t="s">
        <v>14</v>
      </c>
      <c r="D267">
        <v>30000</v>
      </c>
      <c r="E267">
        <v>2</v>
      </c>
      <c r="F267" s="2" t="s">
        <v>45</v>
      </c>
      <c r="G267" t="s">
        <v>22</v>
      </c>
      <c r="H267" t="s">
        <v>23</v>
      </c>
      <c r="I267" t="s">
        <v>17</v>
      </c>
      <c r="J267">
        <v>2</v>
      </c>
      <c r="K267" t="s">
        <v>44</v>
      </c>
      <c r="L267" t="s">
        <v>18</v>
      </c>
      <c r="M267" t="s">
        <v>19</v>
      </c>
      <c r="N267">
        <v>42</v>
      </c>
      <c r="O267" t="s">
        <v>20</v>
      </c>
    </row>
    <row r="268" spans="1:15" x14ac:dyDescent="0.25">
      <c r="A268">
        <v>267</v>
      </c>
      <c r="B268" t="s">
        <v>26</v>
      </c>
      <c r="C268" t="s">
        <v>14</v>
      </c>
      <c r="D268">
        <v>20000</v>
      </c>
      <c r="E268">
        <v>5</v>
      </c>
      <c r="F268" s="2" t="s">
        <v>45</v>
      </c>
      <c r="G268" t="s">
        <v>31</v>
      </c>
      <c r="H268" t="s">
        <v>29</v>
      </c>
      <c r="I268" t="s">
        <v>17</v>
      </c>
      <c r="J268">
        <v>2</v>
      </c>
      <c r="K268" t="s">
        <v>44</v>
      </c>
      <c r="L268" t="s">
        <v>18</v>
      </c>
      <c r="M268" t="s">
        <v>19</v>
      </c>
      <c r="N268">
        <v>27</v>
      </c>
      <c r="O268" t="s">
        <v>20</v>
      </c>
    </row>
    <row r="269" spans="1:15" x14ac:dyDescent="0.25">
      <c r="A269">
        <v>268</v>
      </c>
      <c r="B269" t="s">
        <v>26</v>
      </c>
      <c r="C269" t="s">
        <v>21</v>
      </c>
      <c r="D269">
        <v>100000</v>
      </c>
      <c r="E269">
        <v>5</v>
      </c>
      <c r="F269" s="2" t="s">
        <v>45</v>
      </c>
      <c r="G269" t="s">
        <v>15</v>
      </c>
      <c r="H269" t="s">
        <v>24</v>
      </c>
      <c r="I269" t="s">
        <v>17</v>
      </c>
      <c r="J269">
        <v>1</v>
      </c>
      <c r="K269" t="s">
        <v>44</v>
      </c>
      <c r="L269" t="s">
        <v>27</v>
      </c>
      <c r="M269" t="s">
        <v>28</v>
      </c>
      <c r="N269">
        <v>47</v>
      </c>
      <c r="O269" t="s">
        <v>17</v>
      </c>
    </row>
    <row r="270" spans="1:15" x14ac:dyDescent="0.25">
      <c r="A270">
        <v>269</v>
      </c>
      <c r="B270" t="s">
        <v>13</v>
      </c>
      <c r="C270" t="s">
        <v>21</v>
      </c>
      <c r="D270">
        <v>70000</v>
      </c>
      <c r="E270">
        <v>5</v>
      </c>
      <c r="F270" s="2" t="s">
        <v>45</v>
      </c>
      <c r="G270" t="s">
        <v>22</v>
      </c>
      <c r="H270" t="s">
        <v>16</v>
      </c>
      <c r="I270" t="s">
        <v>17</v>
      </c>
      <c r="J270">
        <v>3</v>
      </c>
      <c r="K270" t="s">
        <v>44</v>
      </c>
      <c r="L270" t="s">
        <v>27</v>
      </c>
      <c r="M270" t="s">
        <v>28</v>
      </c>
      <c r="N270">
        <v>45</v>
      </c>
      <c r="O270" t="s">
        <v>20</v>
      </c>
    </row>
    <row r="271" spans="1:15" x14ac:dyDescent="0.25">
      <c r="A271">
        <v>270</v>
      </c>
      <c r="B271" t="s">
        <v>26</v>
      </c>
      <c r="C271" t="s">
        <v>14</v>
      </c>
      <c r="D271">
        <v>50000</v>
      </c>
      <c r="E271">
        <v>0</v>
      </c>
      <c r="F271" s="2" t="s">
        <v>46</v>
      </c>
      <c r="G271" t="s">
        <v>35</v>
      </c>
      <c r="H271" t="s">
        <v>16</v>
      </c>
      <c r="I271" t="s">
        <v>20</v>
      </c>
      <c r="J271">
        <v>0</v>
      </c>
      <c r="K271" t="s">
        <v>43</v>
      </c>
      <c r="L271" t="s">
        <v>18</v>
      </c>
      <c r="M271" t="s">
        <v>19</v>
      </c>
      <c r="N271">
        <v>37</v>
      </c>
      <c r="O271" t="s">
        <v>17</v>
      </c>
    </row>
    <row r="272" spans="1:15" x14ac:dyDescent="0.25">
      <c r="A272">
        <v>271</v>
      </c>
      <c r="B272" t="s">
        <v>26</v>
      </c>
      <c r="C272" t="s">
        <v>14</v>
      </c>
      <c r="D272">
        <v>10000</v>
      </c>
      <c r="E272">
        <v>2</v>
      </c>
      <c r="F272" s="2" t="s">
        <v>45</v>
      </c>
      <c r="G272" t="s">
        <v>22</v>
      </c>
      <c r="H272" t="s">
        <v>29</v>
      </c>
      <c r="I272" t="s">
        <v>17</v>
      </c>
      <c r="J272">
        <v>0</v>
      </c>
      <c r="K272" t="s">
        <v>43</v>
      </c>
      <c r="L272" t="s">
        <v>18</v>
      </c>
      <c r="M272" t="s">
        <v>19</v>
      </c>
      <c r="N272">
        <v>51</v>
      </c>
      <c r="O272" t="s">
        <v>17</v>
      </c>
    </row>
    <row r="273" spans="1:15" x14ac:dyDescent="0.25">
      <c r="A273">
        <v>272</v>
      </c>
      <c r="B273" t="s">
        <v>26</v>
      </c>
      <c r="C273" t="s">
        <v>14</v>
      </c>
      <c r="D273">
        <v>20000</v>
      </c>
      <c r="E273">
        <v>0</v>
      </c>
      <c r="F273" s="2" t="s">
        <v>46</v>
      </c>
      <c r="G273" t="s">
        <v>31</v>
      </c>
      <c r="H273" t="s">
        <v>29</v>
      </c>
      <c r="I273" t="s">
        <v>20</v>
      </c>
      <c r="J273">
        <v>1</v>
      </c>
      <c r="K273" t="s">
        <v>44</v>
      </c>
      <c r="L273" t="s">
        <v>30</v>
      </c>
      <c r="M273" t="s">
        <v>19</v>
      </c>
      <c r="N273">
        <v>28</v>
      </c>
      <c r="O273" t="s">
        <v>20</v>
      </c>
    </row>
    <row r="274" spans="1:15" x14ac:dyDescent="0.25">
      <c r="A274">
        <v>273</v>
      </c>
      <c r="B274" t="s">
        <v>13</v>
      </c>
      <c r="C274" t="s">
        <v>21</v>
      </c>
      <c r="D274">
        <v>10000</v>
      </c>
      <c r="E274">
        <v>4</v>
      </c>
      <c r="F274" s="2" t="s">
        <v>45</v>
      </c>
      <c r="G274" t="s">
        <v>33</v>
      </c>
      <c r="H274" t="s">
        <v>29</v>
      </c>
      <c r="I274" t="s">
        <v>17</v>
      </c>
      <c r="J274">
        <v>1</v>
      </c>
      <c r="K274" t="s">
        <v>44</v>
      </c>
      <c r="L274" t="s">
        <v>18</v>
      </c>
      <c r="M274" t="s">
        <v>19</v>
      </c>
      <c r="N274">
        <v>40</v>
      </c>
      <c r="O274" t="s">
        <v>17</v>
      </c>
    </row>
    <row r="275" spans="1:15" x14ac:dyDescent="0.25">
      <c r="A275">
        <v>274</v>
      </c>
      <c r="B275" t="s">
        <v>26</v>
      </c>
      <c r="C275" t="s">
        <v>14</v>
      </c>
      <c r="D275">
        <v>20000</v>
      </c>
      <c r="E275">
        <v>0</v>
      </c>
      <c r="F275" s="2" t="s">
        <v>46</v>
      </c>
      <c r="G275" t="s">
        <v>31</v>
      </c>
      <c r="H275" t="s">
        <v>29</v>
      </c>
      <c r="I275" t="s">
        <v>20</v>
      </c>
      <c r="J275">
        <v>1</v>
      </c>
      <c r="K275" t="s">
        <v>44</v>
      </c>
      <c r="L275" t="s">
        <v>25</v>
      </c>
      <c r="M275" t="s">
        <v>19</v>
      </c>
      <c r="N275">
        <v>30</v>
      </c>
      <c r="O275" t="s">
        <v>20</v>
      </c>
    </row>
    <row r="276" spans="1:15" x14ac:dyDescent="0.25">
      <c r="A276">
        <v>275</v>
      </c>
      <c r="B276" t="s">
        <v>13</v>
      </c>
      <c r="C276" t="s">
        <v>14</v>
      </c>
      <c r="D276">
        <v>30000</v>
      </c>
      <c r="E276">
        <v>0</v>
      </c>
      <c r="F276" s="2" t="s">
        <v>46</v>
      </c>
      <c r="G276" t="s">
        <v>15</v>
      </c>
      <c r="H276" t="s">
        <v>23</v>
      </c>
      <c r="I276" t="s">
        <v>20</v>
      </c>
      <c r="J276">
        <v>0</v>
      </c>
      <c r="K276" t="s">
        <v>43</v>
      </c>
      <c r="L276" t="s">
        <v>18</v>
      </c>
      <c r="M276" t="s">
        <v>19</v>
      </c>
      <c r="N276">
        <v>36</v>
      </c>
      <c r="O276" t="s">
        <v>17</v>
      </c>
    </row>
    <row r="277" spans="1:15" x14ac:dyDescent="0.25">
      <c r="A277">
        <v>276</v>
      </c>
      <c r="B277" t="s">
        <v>13</v>
      </c>
      <c r="C277" t="s">
        <v>14</v>
      </c>
      <c r="D277">
        <v>90000</v>
      </c>
      <c r="E277">
        <v>1</v>
      </c>
      <c r="F277" s="2" t="s">
        <v>45</v>
      </c>
      <c r="G277" t="s">
        <v>35</v>
      </c>
      <c r="H277" t="s">
        <v>32</v>
      </c>
      <c r="I277" t="s">
        <v>17</v>
      </c>
      <c r="J277">
        <v>0</v>
      </c>
      <c r="K277" t="s">
        <v>43</v>
      </c>
      <c r="L277" t="s">
        <v>18</v>
      </c>
      <c r="M277" t="s">
        <v>28</v>
      </c>
      <c r="N277">
        <v>37</v>
      </c>
      <c r="O277" t="s">
        <v>17</v>
      </c>
    </row>
    <row r="278" spans="1:15" x14ac:dyDescent="0.25">
      <c r="A278">
        <v>277</v>
      </c>
      <c r="B278" t="s">
        <v>13</v>
      </c>
      <c r="C278" t="s">
        <v>14</v>
      </c>
      <c r="D278">
        <v>10000</v>
      </c>
      <c r="E278">
        <v>2</v>
      </c>
      <c r="F278" s="2" t="s">
        <v>45</v>
      </c>
      <c r="G278" t="s">
        <v>22</v>
      </c>
      <c r="H278" t="s">
        <v>29</v>
      </c>
      <c r="I278" t="s">
        <v>17</v>
      </c>
      <c r="J278">
        <v>0</v>
      </c>
      <c r="K278" t="s">
        <v>43</v>
      </c>
      <c r="L278" t="s">
        <v>30</v>
      </c>
      <c r="M278" t="s">
        <v>19</v>
      </c>
      <c r="N278">
        <v>49</v>
      </c>
      <c r="O278" t="s">
        <v>20</v>
      </c>
    </row>
    <row r="279" spans="1:15" x14ac:dyDescent="0.25">
      <c r="A279">
        <v>278</v>
      </c>
      <c r="B279" t="s">
        <v>13</v>
      </c>
      <c r="C279" t="s">
        <v>14</v>
      </c>
      <c r="D279">
        <v>10000</v>
      </c>
      <c r="E279">
        <v>2</v>
      </c>
      <c r="F279" s="2" t="s">
        <v>45</v>
      </c>
      <c r="G279" t="s">
        <v>31</v>
      </c>
      <c r="H279" t="s">
        <v>29</v>
      </c>
      <c r="I279" t="s">
        <v>17</v>
      </c>
      <c r="J279">
        <v>0</v>
      </c>
      <c r="K279" t="s">
        <v>43</v>
      </c>
      <c r="L279" t="s">
        <v>18</v>
      </c>
      <c r="M279" t="s">
        <v>19</v>
      </c>
      <c r="N279">
        <v>37</v>
      </c>
      <c r="O279" t="s">
        <v>17</v>
      </c>
    </row>
    <row r="280" spans="1:15" x14ac:dyDescent="0.25">
      <c r="A280">
        <v>279</v>
      </c>
      <c r="B280" t="s">
        <v>13</v>
      </c>
      <c r="C280" t="s">
        <v>21</v>
      </c>
      <c r="D280">
        <v>100000</v>
      </c>
      <c r="E280">
        <v>0</v>
      </c>
      <c r="F280" s="2" t="s">
        <v>46</v>
      </c>
      <c r="G280" t="s">
        <v>31</v>
      </c>
      <c r="H280" t="s">
        <v>32</v>
      </c>
      <c r="I280" t="s">
        <v>17</v>
      </c>
      <c r="J280">
        <v>3</v>
      </c>
      <c r="K280" t="s">
        <v>44</v>
      </c>
      <c r="L280" t="s">
        <v>34</v>
      </c>
      <c r="M280" t="s">
        <v>28</v>
      </c>
      <c r="N280">
        <v>35</v>
      </c>
      <c r="O280" t="s">
        <v>17</v>
      </c>
    </row>
    <row r="281" spans="1:15" x14ac:dyDescent="0.25">
      <c r="A281">
        <v>280</v>
      </c>
      <c r="B281" t="s">
        <v>26</v>
      </c>
      <c r="C281" t="s">
        <v>21</v>
      </c>
      <c r="D281">
        <v>30000</v>
      </c>
      <c r="E281">
        <v>1</v>
      </c>
      <c r="F281" s="2" t="s">
        <v>45</v>
      </c>
      <c r="G281" t="s">
        <v>15</v>
      </c>
      <c r="H281" t="s">
        <v>23</v>
      </c>
      <c r="I281" t="s">
        <v>20</v>
      </c>
      <c r="J281">
        <v>0</v>
      </c>
      <c r="K281" t="s">
        <v>43</v>
      </c>
      <c r="L281" t="s">
        <v>18</v>
      </c>
      <c r="M281" t="s">
        <v>19</v>
      </c>
      <c r="N281">
        <v>38</v>
      </c>
      <c r="O281" t="s">
        <v>17</v>
      </c>
    </row>
    <row r="282" spans="1:15" x14ac:dyDescent="0.25">
      <c r="A282">
        <v>281</v>
      </c>
      <c r="B282" t="s">
        <v>26</v>
      </c>
      <c r="C282" t="s">
        <v>14</v>
      </c>
      <c r="D282">
        <v>10000</v>
      </c>
      <c r="E282">
        <v>3</v>
      </c>
      <c r="F282" s="2" t="s">
        <v>45</v>
      </c>
      <c r="G282" t="s">
        <v>33</v>
      </c>
      <c r="H282" t="s">
        <v>29</v>
      </c>
      <c r="I282" t="s">
        <v>17</v>
      </c>
      <c r="J282">
        <v>2</v>
      </c>
      <c r="K282" t="s">
        <v>44</v>
      </c>
      <c r="L282" t="s">
        <v>18</v>
      </c>
      <c r="M282" t="s">
        <v>19</v>
      </c>
      <c r="N282">
        <v>43</v>
      </c>
      <c r="O282" t="s">
        <v>20</v>
      </c>
    </row>
    <row r="283" spans="1:15" x14ac:dyDescent="0.25">
      <c r="A283">
        <v>282</v>
      </c>
      <c r="B283" t="s">
        <v>26</v>
      </c>
      <c r="C283" t="s">
        <v>21</v>
      </c>
      <c r="D283">
        <v>20000</v>
      </c>
      <c r="E283">
        <v>1</v>
      </c>
      <c r="F283" s="2" t="s">
        <v>45</v>
      </c>
      <c r="G283" t="s">
        <v>22</v>
      </c>
      <c r="H283" t="s">
        <v>29</v>
      </c>
      <c r="I283" t="s">
        <v>20</v>
      </c>
      <c r="J283">
        <v>0</v>
      </c>
      <c r="K283" t="s">
        <v>43</v>
      </c>
      <c r="L283" t="s">
        <v>18</v>
      </c>
      <c r="M283" t="s">
        <v>19</v>
      </c>
      <c r="N283">
        <v>37</v>
      </c>
      <c r="O283" t="s">
        <v>20</v>
      </c>
    </row>
    <row r="284" spans="1:15" x14ac:dyDescent="0.25">
      <c r="A284">
        <v>283</v>
      </c>
      <c r="B284" t="s">
        <v>26</v>
      </c>
      <c r="C284" t="s">
        <v>21</v>
      </c>
      <c r="D284">
        <v>10000</v>
      </c>
      <c r="E284">
        <v>0</v>
      </c>
      <c r="F284" s="2" t="s">
        <v>46</v>
      </c>
      <c r="G284" t="s">
        <v>33</v>
      </c>
      <c r="H284" t="s">
        <v>29</v>
      </c>
      <c r="I284" t="s">
        <v>20</v>
      </c>
      <c r="J284">
        <v>2</v>
      </c>
      <c r="K284" t="s">
        <v>44</v>
      </c>
      <c r="L284" t="s">
        <v>18</v>
      </c>
      <c r="M284" t="s">
        <v>19</v>
      </c>
      <c r="N284">
        <v>34</v>
      </c>
      <c r="O284" t="s">
        <v>20</v>
      </c>
    </row>
    <row r="285" spans="1:15" x14ac:dyDescent="0.25">
      <c r="A285">
        <v>284</v>
      </c>
      <c r="B285" t="s">
        <v>13</v>
      </c>
      <c r="C285" t="s">
        <v>14</v>
      </c>
      <c r="D285">
        <v>70000</v>
      </c>
      <c r="E285">
        <v>5</v>
      </c>
      <c r="F285" s="2" t="s">
        <v>45</v>
      </c>
      <c r="G285" t="s">
        <v>22</v>
      </c>
      <c r="H285" t="s">
        <v>16</v>
      </c>
      <c r="I285" t="s">
        <v>20</v>
      </c>
      <c r="J285">
        <v>3</v>
      </c>
      <c r="K285" t="s">
        <v>44</v>
      </c>
      <c r="L285" t="s">
        <v>27</v>
      </c>
      <c r="M285" t="s">
        <v>28</v>
      </c>
      <c r="N285">
        <v>46</v>
      </c>
      <c r="O285" t="s">
        <v>20</v>
      </c>
    </row>
    <row r="286" spans="1:15" x14ac:dyDescent="0.25">
      <c r="A286">
        <v>285</v>
      </c>
      <c r="B286" t="s">
        <v>26</v>
      </c>
      <c r="C286" t="s">
        <v>21</v>
      </c>
      <c r="D286">
        <v>10000</v>
      </c>
      <c r="E286">
        <v>1</v>
      </c>
      <c r="F286" s="2" t="s">
        <v>45</v>
      </c>
      <c r="G286" t="s">
        <v>22</v>
      </c>
      <c r="H286" t="s">
        <v>29</v>
      </c>
      <c r="I286" t="s">
        <v>17</v>
      </c>
      <c r="J286">
        <v>0</v>
      </c>
      <c r="K286" t="s">
        <v>43</v>
      </c>
      <c r="L286" t="s">
        <v>18</v>
      </c>
      <c r="M286" t="s">
        <v>19</v>
      </c>
      <c r="N286">
        <v>49</v>
      </c>
      <c r="O286" t="s">
        <v>20</v>
      </c>
    </row>
    <row r="287" spans="1:15" x14ac:dyDescent="0.25">
      <c r="A287">
        <v>286</v>
      </c>
      <c r="B287" t="s">
        <v>13</v>
      </c>
      <c r="C287" t="s">
        <v>14</v>
      </c>
      <c r="D287">
        <v>60000</v>
      </c>
      <c r="E287">
        <v>1</v>
      </c>
      <c r="F287" s="2" t="s">
        <v>45</v>
      </c>
      <c r="G287" t="s">
        <v>22</v>
      </c>
      <c r="H287" t="s">
        <v>16</v>
      </c>
      <c r="I287" t="s">
        <v>17</v>
      </c>
      <c r="J287">
        <v>1</v>
      </c>
      <c r="K287" t="s">
        <v>44</v>
      </c>
      <c r="L287" t="s">
        <v>27</v>
      </c>
      <c r="M287" t="s">
        <v>28</v>
      </c>
      <c r="N287">
        <v>45</v>
      </c>
      <c r="O287" t="s">
        <v>20</v>
      </c>
    </row>
    <row r="288" spans="1:15" x14ac:dyDescent="0.25">
      <c r="A288">
        <v>287</v>
      </c>
      <c r="B288" t="s">
        <v>26</v>
      </c>
      <c r="C288" t="s">
        <v>14</v>
      </c>
      <c r="D288">
        <v>100000</v>
      </c>
      <c r="E288">
        <v>1</v>
      </c>
      <c r="F288" s="2" t="s">
        <v>45</v>
      </c>
      <c r="G288" t="s">
        <v>15</v>
      </c>
      <c r="H288" t="s">
        <v>32</v>
      </c>
      <c r="I288" t="s">
        <v>17</v>
      </c>
      <c r="J288">
        <v>4</v>
      </c>
      <c r="K288" t="s">
        <v>44</v>
      </c>
      <c r="L288" t="s">
        <v>25</v>
      </c>
      <c r="M288" t="s">
        <v>28</v>
      </c>
      <c r="N288">
        <v>48</v>
      </c>
      <c r="O288" t="s">
        <v>20</v>
      </c>
    </row>
    <row r="289" spans="1:15" x14ac:dyDescent="0.25">
      <c r="A289">
        <v>288</v>
      </c>
      <c r="B289" t="s">
        <v>26</v>
      </c>
      <c r="C289" t="s">
        <v>14</v>
      </c>
      <c r="D289">
        <v>30000</v>
      </c>
      <c r="E289">
        <v>3</v>
      </c>
      <c r="F289" s="2" t="s">
        <v>45</v>
      </c>
      <c r="G289" t="s">
        <v>35</v>
      </c>
      <c r="H289" t="s">
        <v>23</v>
      </c>
      <c r="I289" t="s">
        <v>20</v>
      </c>
      <c r="J289">
        <v>0</v>
      </c>
      <c r="K289" t="s">
        <v>43</v>
      </c>
      <c r="L289" t="s">
        <v>18</v>
      </c>
      <c r="M289" t="s">
        <v>19</v>
      </c>
      <c r="N289">
        <v>46</v>
      </c>
      <c r="O289" t="s">
        <v>17</v>
      </c>
    </row>
    <row r="290" spans="1:15" x14ac:dyDescent="0.25">
      <c r="A290">
        <v>289</v>
      </c>
      <c r="B290" t="s">
        <v>13</v>
      </c>
      <c r="C290" t="s">
        <v>21</v>
      </c>
      <c r="D290">
        <v>130000</v>
      </c>
      <c r="E290">
        <v>0</v>
      </c>
      <c r="F290" s="2" t="s">
        <v>46</v>
      </c>
      <c r="G290" t="s">
        <v>35</v>
      </c>
      <c r="H290" t="s">
        <v>32</v>
      </c>
      <c r="I290" t="s">
        <v>17</v>
      </c>
      <c r="J290">
        <v>0</v>
      </c>
      <c r="K290" t="s">
        <v>43</v>
      </c>
      <c r="L290" t="s">
        <v>27</v>
      </c>
      <c r="M290" t="s">
        <v>28</v>
      </c>
      <c r="N290">
        <v>48</v>
      </c>
      <c r="O290" t="s">
        <v>20</v>
      </c>
    </row>
    <row r="291" spans="1:15" x14ac:dyDescent="0.25">
      <c r="A291">
        <v>290</v>
      </c>
      <c r="B291" t="s">
        <v>13</v>
      </c>
      <c r="C291" t="s">
        <v>21</v>
      </c>
      <c r="D291">
        <v>30000</v>
      </c>
      <c r="E291">
        <v>3</v>
      </c>
      <c r="F291" s="2" t="s">
        <v>45</v>
      </c>
      <c r="G291" t="s">
        <v>31</v>
      </c>
      <c r="H291" t="s">
        <v>16</v>
      </c>
      <c r="I291" t="s">
        <v>17</v>
      </c>
      <c r="J291">
        <v>2</v>
      </c>
      <c r="K291" t="s">
        <v>44</v>
      </c>
      <c r="L291" t="s">
        <v>27</v>
      </c>
      <c r="M291" t="s">
        <v>28</v>
      </c>
      <c r="N291">
        <v>54</v>
      </c>
      <c r="O291" t="s">
        <v>17</v>
      </c>
    </row>
    <row r="292" spans="1:15" x14ac:dyDescent="0.25">
      <c r="A292">
        <v>291</v>
      </c>
      <c r="B292" t="s">
        <v>26</v>
      </c>
      <c r="C292" t="s">
        <v>14</v>
      </c>
      <c r="D292">
        <v>60000</v>
      </c>
      <c r="E292">
        <v>1</v>
      </c>
      <c r="F292" s="2" t="s">
        <v>45</v>
      </c>
      <c r="G292" t="s">
        <v>22</v>
      </c>
      <c r="H292" t="s">
        <v>16</v>
      </c>
      <c r="I292" t="s">
        <v>20</v>
      </c>
      <c r="J292">
        <v>1</v>
      </c>
      <c r="K292" t="s">
        <v>44</v>
      </c>
      <c r="L292" t="s">
        <v>18</v>
      </c>
      <c r="M292" t="s">
        <v>28</v>
      </c>
      <c r="N292">
        <v>46</v>
      </c>
      <c r="O292" t="s">
        <v>17</v>
      </c>
    </row>
    <row r="293" spans="1:15" x14ac:dyDescent="0.25">
      <c r="A293">
        <v>292</v>
      </c>
      <c r="B293" t="s">
        <v>13</v>
      </c>
      <c r="C293" t="s">
        <v>21</v>
      </c>
      <c r="D293">
        <v>40000</v>
      </c>
      <c r="E293">
        <v>0</v>
      </c>
      <c r="F293" s="2" t="s">
        <v>46</v>
      </c>
      <c r="G293" t="s">
        <v>15</v>
      </c>
      <c r="H293" t="s">
        <v>23</v>
      </c>
      <c r="I293" t="s">
        <v>20</v>
      </c>
      <c r="J293">
        <v>0</v>
      </c>
      <c r="K293" t="s">
        <v>43</v>
      </c>
      <c r="L293" t="s">
        <v>18</v>
      </c>
      <c r="M293" t="s">
        <v>19</v>
      </c>
      <c r="N293">
        <v>38</v>
      </c>
      <c r="O293" t="s">
        <v>17</v>
      </c>
    </row>
    <row r="294" spans="1:15" x14ac:dyDescent="0.25">
      <c r="A294">
        <v>293</v>
      </c>
      <c r="B294" t="s">
        <v>13</v>
      </c>
      <c r="C294" t="s">
        <v>14</v>
      </c>
      <c r="D294">
        <v>40000</v>
      </c>
      <c r="E294">
        <v>1</v>
      </c>
      <c r="F294" s="2" t="s">
        <v>45</v>
      </c>
      <c r="G294" t="s">
        <v>15</v>
      </c>
      <c r="H294" t="s">
        <v>16</v>
      </c>
      <c r="I294" t="s">
        <v>17</v>
      </c>
      <c r="J294">
        <v>0</v>
      </c>
      <c r="K294" t="s">
        <v>43</v>
      </c>
      <c r="L294" t="s">
        <v>18</v>
      </c>
      <c r="M294" t="s">
        <v>19</v>
      </c>
      <c r="N294">
        <v>42</v>
      </c>
      <c r="O294" t="s">
        <v>17</v>
      </c>
    </row>
    <row r="295" spans="1:15" x14ac:dyDescent="0.25">
      <c r="A295">
        <v>294</v>
      </c>
      <c r="B295" t="s">
        <v>26</v>
      </c>
      <c r="C295" t="s">
        <v>14</v>
      </c>
      <c r="D295">
        <v>10000</v>
      </c>
      <c r="E295">
        <v>1</v>
      </c>
      <c r="F295" s="2" t="s">
        <v>45</v>
      </c>
      <c r="G295" t="s">
        <v>31</v>
      </c>
      <c r="H295" t="s">
        <v>29</v>
      </c>
      <c r="I295" t="s">
        <v>20</v>
      </c>
      <c r="J295">
        <v>1</v>
      </c>
      <c r="K295" t="s">
        <v>44</v>
      </c>
      <c r="L295" t="s">
        <v>25</v>
      </c>
      <c r="M295" t="s">
        <v>19</v>
      </c>
      <c r="N295">
        <v>46</v>
      </c>
      <c r="O295" t="s">
        <v>17</v>
      </c>
    </row>
    <row r="296" spans="1:15" x14ac:dyDescent="0.25">
      <c r="A296">
        <v>295</v>
      </c>
      <c r="B296" t="s">
        <v>26</v>
      </c>
      <c r="C296" t="s">
        <v>21</v>
      </c>
      <c r="D296">
        <v>20000</v>
      </c>
      <c r="E296">
        <v>0</v>
      </c>
      <c r="F296" s="2" t="s">
        <v>46</v>
      </c>
      <c r="G296" t="s">
        <v>22</v>
      </c>
      <c r="H296" t="s">
        <v>29</v>
      </c>
      <c r="I296" t="s">
        <v>20</v>
      </c>
      <c r="J296">
        <v>1</v>
      </c>
      <c r="K296" t="s">
        <v>44</v>
      </c>
      <c r="L296" t="s">
        <v>25</v>
      </c>
      <c r="M296" t="s">
        <v>19</v>
      </c>
      <c r="N296">
        <v>36</v>
      </c>
      <c r="O296" t="s">
        <v>17</v>
      </c>
    </row>
    <row r="297" spans="1:15" x14ac:dyDescent="0.25">
      <c r="A297">
        <v>296</v>
      </c>
      <c r="B297" t="s">
        <v>26</v>
      </c>
      <c r="C297" t="s">
        <v>14</v>
      </c>
      <c r="D297">
        <v>110000</v>
      </c>
      <c r="E297">
        <v>0</v>
      </c>
      <c r="F297" s="2" t="s">
        <v>46</v>
      </c>
      <c r="G297" t="s">
        <v>22</v>
      </c>
      <c r="H297" t="s">
        <v>32</v>
      </c>
      <c r="I297" t="s">
        <v>17</v>
      </c>
      <c r="J297">
        <v>3</v>
      </c>
      <c r="K297" t="s">
        <v>44</v>
      </c>
      <c r="L297" t="s">
        <v>34</v>
      </c>
      <c r="M297" t="s">
        <v>28</v>
      </c>
      <c r="N297">
        <v>32</v>
      </c>
      <c r="O297" t="s">
        <v>17</v>
      </c>
    </row>
    <row r="298" spans="1:15" x14ac:dyDescent="0.25">
      <c r="A298">
        <v>297</v>
      </c>
      <c r="B298" t="s">
        <v>26</v>
      </c>
      <c r="C298" t="s">
        <v>14</v>
      </c>
      <c r="D298">
        <v>60000</v>
      </c>
      <c r="E298">
        <v>2</v>
      </c>
      <c r="F298" s="2" t="s">
        <v>45</v>
      </c>
      <c r="G298" t="s">
        <v>15</v>
      </c>
      <c r="H298" t="s">
        <v>24</v>
      </c>
      <c r="I298" t="s">
        <v>20</v>
      </c>
      <c r="J298">
        <v>1</v>
      </c>
      <c r="K298" t="s">
        <v>44</v>
      </c>
      <c r="L298" t="s">
        <v>18</v>
      </c>
      <c r="M298" t="s">
        <v>28</v>
      </c>
      <c r="N298">
        <v>39</v>
      </c>
      <c r="O298" t="s">
        <v>17</v>
      </c>
    </row>
    <row r="299" spans="1:15" x14ac:dyDescent="0.25">
      <c r="A299">
        <v>298</v>
      </c>
      <c r="B299" t="s">
        <v>13</v>
      </c>
      <c r="C299" t="s">
        <v>21</v>
      </c>
      <c r="D299">
        <v>100000</v>
      </c>
      <c r="E299">
        <v>1</v>
      </c>
      <c r="F299" s="2" t="s">
        <v>45</v>
      </c>
      <c r="G299" t="s">
        <v>35</v>
      </c>
      <c r="H299" t="s">
        <v>32</v>
      </c>
      <c r="I299" t="s">
        <v>17</v>
      </c>
      <c r="J299">
        <v>0</v>
      </c>
      <c r="K299" t="s">
        <v>43</v>
      </c>
      <c r="L299" t="s">
        <v>25</v>
      </c>
      <c r="M299" t="s">
        <v>28</v>
      </c>
      <c r="N299">
        <v>36</v>
      </c>
      <c r="O299" t="s">
        <v>17</v>
      </c>
    </row>
    <row r="300" spans="1:15" x14ac:dyDescent="0.25">
      <c r="A300">
        <v>299</v>
      </c>
      <c r="B300" t="s">
        <v>13</v>
      </c>
      <c r="C300" t="s">
        <v>14</v>
      </c>
      <c r="D300">
        <v>90000</v>
      </c>
      <c r="E300">
        <v>4</v>
      </c>
      <c r="F300" s="2" t="s">
        <v>45</v>
      </c>
      <c r="G300" t="s">
        <v>31</v>
      </c>
      <c r="H300" t="s">
        <v>24</v>
      </c>
      <c r="I300" t="s">
        <v>20</v>
      </c>
      <c r="J300">
        <v>2</v>
      </c>
      <c r="K300" t="s">
        <v>44</v>
      </c>
      <c r="L300" t="s">
        <v>25</v>
      </c>
      <c r="M300" t="s">
        <v>19</v>
      </c>
      <c r="N300">
        <v>54</v>
      </c>
      <c r="O300" t="s">
        <v>17</v>
      </c>
    </row>
    <row r="301" spans="1:15" x14ac:dyDescent="0.25">
      <c r="A301">
        <v>300</v>
      </c>
      <c r="B301" t="s">
        <v>13</v>
      </c>
      <c r="C301" t="s">
        <v>14</v>
      </c>
      <c r="D301">
        <v>30000</v>
      </c>
      <c r="E301">
        <v>2</v>
      </c>
      <c r="F301" s="2" t="s">
        <v>45</v>
      </c>
      <c r="G301" t="s">
        <v>22</v>
      </c>
      <c r="H301" t="s">
        <v>23</v>
      </c>
      <c r="I301" t="s">
        <v>20</v>
      </c>
      <c r="J301">
        <v>2</v>
      </c>
      <c r="K301" t="s">
        <v>44</v>
      </c>
      <c r="L301" t="s">
        <v>27</v>
      </c>
      <c r="M301" t="s">
        <v>28</v>
      </c>
      <c r="N301">
        <v>69</v>
      </c>
      <c r="O301" t="s">
        <v>20</v>
      </c>
    </row>
    <row r="302" spans="1:15" x14ac:dyDescent="0.25">
      <c r="A302">
        <v>301</v>
      </c>
      <c r="B302" t="s">
        <v>26</v>
      </c>
      <c r="C302" t="s">
        <v>14</v>
      </c>
      <c r="D302">
        <v>10000</v>
      </c>
      <c r="E302">
        <v>5</v>
      </c>
      <c r="F302" s="2" t="s">
        <v>45</v>
      </c>
      <c r="G302" t="s">
        <v>31</v>
      </c>
      <c r="H302" t="s">
        <v>16</v>
      </c>
      <c r="I302" t="s">
        <v>20</v>
      </c>
      <c r="J302">
        <v>2</v>
      </c>
      <c r="K302" t="s">
        <v>44</v>
      </c>
      <c r="L302" t="s">
        <v>30</v>
      </c>
      <c r="M302" t="s">
        <v>28</v>
      </c>
      <c r="N302">
        <v>62</v>
      </c>
      <c r="O302" t="s">
        <v>20</v>
      </c>
    </row>
    <row r="303" spans="1:15" x14ac:dyDescent="0.25">
      <c r="A303">
        <v>302</v>
      </c>
      <c r="B303" t="s">
        <v>26</v>
      </c>
      <c r="C303" t="s">
        <v>14</v>
      </c>
      <c r="D303">
        <v>40000</v>
      </c>
      <c r="E303">
        <v>0</v>
      </c>
      <c r="F303" s="2" t="s">
        <v>46</v>
      </c>
      <c r="G303" t="s">
        <v>15</v>
      </c>
      <c r="H303" t="s">
        <v>23</v>
      </c>
      <c r="I303" t="s">
        <v>20</v>
      </c>
      <c r="J303">
        <v>0</v>
      </c>
      <c r="K303" t="s">
        <v>43</v>
      </c>
      <c r="L303" t="s">
        <v>18</v>
      </c>
      <c r="M303" t="s">
        <v>28</v>
      </c>
      <c r="N303">
        <v>28</v>
      </c>
      <c r="O303" t="s">
        <v>17</v>
      </c>
    </row>
    <row r="304" spans="1:15" x14ac:dyDescent="0.25">
      <c r="A304">
        <v>303</v>
      </c>
      <c r="B304" t="s">
        <v>26</v>
      </c>
      <c r="C304" t="s">
        <v>21</v>
      </c>
      <c r="D304">
        <v>30000</v>
      </c>
      <c r="E304">
        <v>1</v>
      </c>
      <c r="F304" s="2" t="s">
        <v>45</v>
      </c>
      <c r="G304" t="s">
        <v>15</v>
      </c>
      <c r="H304" t="s">
        <v>23</v>
      </c>
      <c r="I304" t="s">
        <v>17</v>
      </c>
      <c r="J304">
        <v>0</v>
      </c>
      <c r="K304" t="s">
        <v>43</v>
      </c>
      <c r="L304" t="s">
        <v>18</v>
      </c>
      <c r="M304" t="s">
        <v>19</v>
      </c>
      <c r="N304">
        <v>62</v>
      </c>
      <c r="O304" t="s">
        <v>17</v>
      </c>
    </row>
    <row r="305" spans="1:15" x14ac:dyDescent="0.25">
      <c r="A305">
        <v>304</v>
      </c>
      <c r="B305" t="s">
        <v>13</v>
      </c>
      <c r="C305" t="s">
        <v>14</v>
      </c>
      <c r="D305">
        <v>30000</v>
      </c>
      <c r="E305">
        <v>1</v>
      </c>
      <c r="F305" s="2" t="s">
        <v>45</v>
      </c>
      <c r="G305" t="s">
        <v>15</v>
      </c>
      <c r="H305" t="s">
        <v>16</v>
      </c>
      <c r="I305" t="s">
        <v>17</v>
      </c>
      <c r="J305">
        <v>2</v>
      </c>
      <c r="K305" t="s">
        <v>44</v>
      </c>
      <c r="L305" t="s">
        <v>18</v>
      </c>
      <c r="M305" t="s">
        <v>19</v>
      </c>
      <c r="N305">
        <v>40</v>
      </c>
      <c r="O305" t="s">
        <v>20</v>
      </c>
    </row>
    <row r="306" spans="1:15" x14ac:dyDescent="0.25">
      <c r="A306">
        <v>305</v>
      </c>
      <c r="B306" t="s">
        <v>13</v>
      </c>
      <c r="C306" t="s">
        <v>21</v>
      </c>
      <c r="D306">
        <v>80000</v>
      </c>
      <c r="E306">
        <v>4</v>
      </c>
      <c r="F306" s="2" t="s">
        <v>45</v>
      </c>
      <c r="G306" t="s">
        <v>35</v>
      </c>
      <c r="H306" t="s">
        <v>32</v>
      </c>
      <c r="I306" t="s">
        <v>17</v>
      </c>
      <c r="J306">
        <v>1</v>
      </c>
      <c r="K306" t="s">
        <v>44</v>
      </c>
      <c r="L306" t="s">
        <v>18</v>
      </c>
      <c r="M306" t="s">
        <v>28</v>
      </c>
      <c r="N306">
        <v>36</v>
      </c>
      <c r="O306" t="s">
        <v>17</v>
      </c>
    </row>
    <row r="307" spans="1:15" x14ac:dyDescent="0.25">
      <c r="A307">
        <v>306</v>
      </c>
      <c r="B307" t="s">
        <v>26</v>
      </c>
      <c r="C307" t="s">
        <v>21</v>
      </c>
      <c r="D307">
        <v>10000</v>
      </c>
      <c r="E307">
        <v>2</v>
      </c>
      <c r="F307" s="2" t="s">
        <v>45</v>
      </c>
      <c r="G307" t="s">
        <v>33</v>
      </c>
      <c r="H307" t="s">
        <v>23</v>
      </c>
      <c r="I307" t="s">
        <v>17</v>
      </c>
      <c r="J307">
        <v>2</v>
      </c>
      <c r="K307" t="s">
        <v>44</v>
      </c>
      <c r="L307" t="s">
        <v>27</v>
      </c>
      <c r="M307" t="s">
        <v>28</v>
      </c>
      <c r="N307">
        <v>58</v>
      </c>
      <c r="O307" t="s">
        <v>20</v>
      </c>
    </row>
    <row r="308" spans="1:15" x14ac:dyDescent="0.25">
      <c r="A308">
        <v>307</v>
      </c>
      <c r="B308" t="s">
        <v>13</v>
      </c>
      <c r="C308" t="s">
        <v>21</v>
      </c>
      <c r="D308">
        <v>90000</v>
      </c>
      <c r="E308">
        <v>2</v>
      </c>
      <c r="F308" s="2" t="s">
        <v>45</v>
      </c>
      <c r="G308" t="s">
        <v>15</v>
      </c>
      <c r="H308" t="s">
        <v>24</v>
      </c>
      <c r="I308" t="s">
        <v>17</v>
      </c>
      <c r="J308">
        <v>0</v>
      </c>
      <c r="K308" t="s">
        <v>43</v>
      </c>
      <c r="L308" t="s">
        <v>30</v>
      </c>
      <c r="M308" t="s">
        <v>28</v>
      </c>
      <c r="N308">
        <v>40</v>
      </c>
      <c r="O308" t="s">
        <v>17</v>
      </c>
    </row>
    <row r="309" spans="1:15" x14ac:dyDescent="0.25">
      <c r="A309">
        <v>308</v>
      </c>
      <c r="B309" t="s">
        <v>13</v>
      </c>
      <c r="C309" t="s">
        <v>21</v>
      </c>
      <c r="D309">
        <v>10000</v>
      </c>
      <c r="E309">
        <v>2</v>
      </c>
      <c r="F309" s="2" t="s">
        <v>45</v>
      </c>
      <c r="G309" t="s">
        <v>15</v>
      </c>
      <c r="H309" t="s">
        <v>23</v>
      </c>
      <c r="I309" t="s">
        <v>17</v>
      </c>
      <c r="J309">
        <v>1</v>
      </c>
      <c r="K309" t="s">
        <v>44</v>
      </c>
      <c r="L309" t="s">
        <v>18</v>
      </c>
      <c r="M309" t="s">
        <v>19</v>
      </c>
      <c r="N309">
        <v>66</v>
      </c>
      <c r="O309" t="s">
        <v>20</v>
      </c>
    </row>
    <row r="310" spans="1:15" x14ac:dyDescent="0.25">
      <c r="A310">
        <v>309</v>
      </c>
      <c r="B310" t="s">
        <v>13</v>
      </c>
      <c r="C310" t="s">
        <v>21</v>
      </c>
      <c r="D310">
        <v>40000</v>
      </c>
      <c r="E310">
        <v>2</v>
      </c>
      <c r="F310" s="2" t="s">
        <v>45</v>
      </c>
      <c r="G310" t="s">
        <v>22</v>
      </c>
      <c r="H310" t="s">
        <v>23</v>
      </c>
      <c r="I310" t="s">
        <v>17</v>
      </c>
      <c r="J310">
        <v>1</v>
      </c>
      <c r="K310" t="s">
        <v>44</v>
      </c>
      <c r="L310" t="s">
        <v>30</v>
      </c>
      <c r="M310" t="s">
        <v>19</v>
      </c>
      <c r="N310">
        <v>35</v>
      </c>
      <c r="O310" t="s">
        <v>17</v>
      </c>
    </row>
    <row r="311" spans="1:15" x14ac:dyDescent="0.25">
      <c r="A311">
        <v>310</v>
      </c>
      <c r="B311" t="s">
        <v>13</v>
      </c>
      <c r="C311" t="s">
        <v>14</v>
      </c>
      <c r="D311">
        <v>20000</v>
      </c>
      <c r="E311">
        <v>2</v>
      </c>
      <c r="F311" s="2" t="s">
        <v>45</v>
      </c>
      <c r="G311" t="s">
        <v>22</v>
      </c>
      <c r="H311" t="s">
        <v>29</v>
      </c>
      <c r="I311" t="s">
        <v>17</v>
      </c>
      <c r="J311">
        <v>1</v>
      </c>
      <c r="K311" t="s">
        <v>44</v>
      </c>
      <c r="L311" t="s">
        <v>25</v>
      </c>
      <c r="M311" t="s">
        <v>19</v>
      </c>
      <c r="N311">
        <v>47</v>
      </c>
      <c r="O311" t="s">
        <v>17</v>
      </c>
    </row>
    <row r="312" spans="1:15" x14ac:dyDescent="0.25">
      <c r="A312">
        <v>311</v>
      </c>
      <c r="B312" t="s">
        <v>13</v>
      </c>
      <c r="C312" t="s">
        <v>21</v>
      </c>
      <c r="D312">
        <v>120000</v>
      </c>
      <c r="E312">
        <v>4</v>
      </c>
      <c r="F312" s="2" t="s">
        <v>45</v>
      </c>
      <c r="G312" t="s">
        <v>15</v>
      </c>
      <c r="H312" t="s">
        <v>32</v>
      </c>
      <c r="I312" t="s">
        <v>17</v>
      </c>
      <c r="J312">
        <v>1</v>
      </c>
      <c r="K312" t="s">
        <v>44</v>
      </c>
      <c r="L312" t="s">
        <v>25</v>
      </c>
      <c r="M312" t="s">
        <v>28</v>
      </c>
      <c r="N312">
        <v>47</v>
      </c>
      <c r="O312" t="s">
        <v>20</v>
      </c>
    </row>
    <row r="313" spans="1:15" x14ac:dyDescent="0.25">
      <c r="A313">
        <v>312</v>
      </c>
      <c r="B313" t="s">
        <v>13</v>
      </c>
      <c r="C313" t="s">
        <v>21</v>
      </c>
      <c r="D313">
        <v>60000</v>
      </c>
      <c r="E313">
        <v>1</v>
      </c>
      <c r="F313" s="2" t="s">
        <v>45</v>
      </c>
      <c r="G313" t="s">
        <v>22</v>
      </c>
      <c r="H313" t="s">
        <v>16</v>
      </c>
      <c r="I313" t="s">
        <v>17</v>
      </c>
      <c r="J313">
        <v>1</v>
      </c>
      <c r="K313" t="s">
        <v>44</v>
      </c>
      <c r="L313" t="s">
        <v>27</v>
      </c>
      <c r="M313" t="s">
        <v>28</v>
      </c>
      <c r="N313">
        <v>46</v>
      </c>
      <c r="O313" t="s">
        <v>20</v>
      </c>
    </row>
    <row r="314" spans="1:15" x14ac:dyDescent="0.25">
      <c r="A314">
        <v>313</v>
      </c>
      <c r="B314" t="s">
        <v>13</v>
      </c>
      <c r="C314" t="s">
        <v>21</v>
      </c>
      <c r="D314">
        <v>20000</v>
      </c>
      <c r="E314">
        <v>4</v>
      </c>
      <c r="F314" s="2" t="s">
        <v>45</v>
      </c>
      <c r="G314" t="s">
        <v>31</v>
      </c>
      <c r="H314" t="s">
        <v>16</v>
      </c>
      <c r="I314" t="s">
        <v>17</v>
      </c>
      <c r="J314">
        <v>2</v>
      </c>
      <c r="K314" t="s">
        <v>44</v>
      </c>
      <c r="L314" t="s">
        <v>27</v>
      </c>
      <c r="M314" t="s">
        <v>28</v>
      </c>
      <c r="N314">
        <v>58</v>
      </c>
      <c r="O314" t="s">
        <v>17</v>
      </c>
    </row>
    <row r="315" spans="1:15" x14ac:dyDescent="0.25">
      <c r="A315">
        <v>314</v>
      </c>
      <c r="B315" t="s">
        <v>26</v>
      </c>
      <c r="C315" t="s">
        <v>21</v>
      </c>
      <c r="D315">
        <v>40000</v>
      </c>
      <c r="E315">
        <v>3</v>
      </c>
      <c r="F315" s="2" t="s">
        <v>45</v>
      </c>
      <c r="G315" t="s">
        <v>33</v>
      </c>
      <c r="H315" t="s">
        <v>23</v>
      </c>
      <c r="I315" t="s">
        <v>20</v>
      </c>
      <c r="J315">
        <v>2</v>
      </c>
      <c r="K315" t="s">
        <v>44</v>
      </c>
      <c r="L315" t="s">
        <v>27</v>
      </c>
      <c r="M315" t="s">
        <v>28</v>
      </c>
      <c r="N315">
        <v>52</v>
      </c>
      <c r="O315" t="s">
        <v>17</v>
      </c>
    </row>
    <row r="316" spans="1:15" x14ac:dyDescent="0.25">
      <c r="A316">
        <v>315</v>
      </c>
      <c r="B316" t="s">
        <v>13</v>
      </c>
      <c r="C316" t="s">
        <v>21</v>
      </c>
      <c r="D316">
        <v>80000</v>
      </c>
      <c r="E316">
        <v>5</v>
      </c>
      <c r="F316" s="2" t="s">
        <v>45</v>
      </c>
      <c r="G316" t="s">
        <v>15</v>
      </c>
      <c r="H316" t="s">
        <v>24</v>
      </c>
      <c r="I316" t="s">
        <v>20</v>
      </c>
      <c r="J316">
        <v>1</v>
      </c>
      <c r="K316" t="s">
        <v>44</v>
      </c>
      <c r="L316" t="s">
        <v>18</v>
      </c>
      <c r="M316" t="s">
        <v>28</v>
      </c>
      <c r="N316">
        <v>47</v>
      </c>
      <c r="O316" t="s">
        <v>17</v>
      </c>
    </row>
    <row r="317" spans="1:15" x14ac:dyDescent="0.25">
      <c r="A317">
        <v>316</v>
      </c>
      <c r="B317" t="s">
        <v>26</v>
      </c>
      <c r="C317" t="s">
        <v>21</v>
      </c>
      <c r="D317">
        <v>70000</v>
      </c>
      <c r="E317">
        <v>0</v>
      </c>
      <c r="F317" s="2" t="s">
        <v>46</v>
      </c>
      <c r="G317" t="s">
        <v>15</v>
      </c>
      <c r="H317" t="s">
        <v>24</v>
      </c>
      <c r="I317" t="s">
        <v>20</v>
      </c>
      <c r="J317">
        <v>1</v>
      </c>
      <c r="K317" t="s">
        <v>44</v>
      </c>
      <c r="L317" t="s">
        <v>27</v>
      </c>
      <c r="M317" t="s">
        <v>28</v>
      </c>
      <c r="N317">
        <v>41</v>
      </c>
      <c r="O317" t="s">
        <v>20</v>
      </c>
    </row>
    <row r="318" spans="1:15" x14ac:dyDescent="0.25">
      <c r="A318">
        <v>317</v>
      </c>
      <c r="B318" t="s">
        <v>13</v>
      </c>
      <c r="C318" t="s">
        <v>21</v>
      </c>
      <c r="D318">
        <v>50000</v>
      </c>
      <c r="E318">
        <v>2</v>
      </c>
      <c r="F318" s="2" t="s">
        <v>45</v>
      </c>
      <c r="G318" t="s">
        <v>35</v>
      </c>
      <c r="H318" t="s">
        <v>32</v>
      </c>
      <c r="I318" t="s">
        <v>17</v>
      </c>
      <c r="J318">
        <v>1</v>
      </c>
      <c r="K318" t="s">
        <v>44</v>
      </c>
      <c r="L318" t="s">
        <v>27</v>
      </c>
      <c r="M318" t="s">
        <v>28</v>
      </c>
      <c r="N318">
        <v>64</v>
      </c>
      <c r="O318" t="s">
        <v>17</v>
      </c>
    </row>
    <row r="319" spans="1:15" x14ac:dyDescent="0.25">
      <c r="A319">
        <v>318</v>
      </c>
      <c r="B319" t="s">
        <v>13</v>
      </c>
      <c r="C319" t="s">
        <v>21</v>
      </c>
      <c r="D319">
        <v>30000</v>
      </c>
      <c r="E319">
        <v>0</v>
      </c>
      <c r="F319" s="2" t="s">
        <v>46</v>
      </c>
      <c r="G319" t="s">
        <v>15</v>
      </c>
      <c r="H319" t="s">
        <v>23</v>
      </c>
      <c r="I319" t="s">
        <v>17</v>
      </c>
      <c r="J319">
        <v>0</v>
      </c>
      <c r="K319" t="s">
        <v>43</v>
      </c>
      <c r="L319" t="s">
        <v>18</v>
      </c>
      <c r="M319" t="s">
        <v>19</v>
      </c>
      <c r="N319">
        <v>35</v>
      </c>
      <c r="O319" t="s">
        <v>17</v>
      </c>
    </row>
    <row r="320" spans="1:15" x14ac:dyDescent="0.25">
      <c r="A320">
        <v>319</v>
      </c>
      <c r="B320" t="s">
        <v>13</v>
      </c>
      <c r="C320" t="s">
        <v>21</v>
      </c>
      <c r="D320">
        <v>130000</v>
      </c>
      <c r="E320">
        <v>4</v>
      </c>
      <c r="F320" s="2" t="s">
        <v>45</v>
      </c>
      <c r="G320" t="s">
        <v>22</v>
      </c>
      <c r="H320" t="s">
        <v>24</v>
      </c>
      <c r="I320" t="s">
        <v>20</v>
      </c>
      <c r="J320">
        <v>3</v>
      </c>
      <c r="K320" t="s">
        <v>44</v>
      </c>
      <c r="L320" t="s">
        <v>34</v>
      </c>
      <c r="M320" t="s">
        <v>19</v>
      </c>
      <c r="N320">
        <v>54</v>
      </c>
      <c r="O320" t="s">
        <v>20</v>
      </c>
    </row>
    <row r="321" spans="1:15" x14ac:dyDescent="0.25">
      <c r="A321">
        <v>320</v>
      </c>
      <c r="B321" t="s">
        <v>13</v>
      </c>
      <c r="C321" t="s">
        <v>14</v>
      </c>
      <c r="D321">
        <v>30000</v>
      </c>
      <c r="E321">
        <v>3</v>
      </c>
      <c r="F321" s="2" t="s">
        <v>45</v>
      </c>
      <c r="G321" t="s">
        <v>15</v>
      </c>
      <c r="H321" t="s">
        <v>23</v>
      </c>
      <c r="I321" t="s">
        <v>17</v>
      </c>
      <c r="J321">
        <v>0</v>
      </c>
      <c r="K321" t="s">
        <v>43</v>
      </c>
      <c r="L321" t="s">
        <v>18</v>
      </c>
      <c r="M321" t="s">
        <v>19</v>
      </c>
      <c r="N321">
        <v>45</v>
      </c>
      <c r="O321" t="s">
        <v>20</v>
      </c>
    </row>
    <row r="322" spans="1:15" x14ac:dyDescent="0.25">
      <c r="A322">
        <v>321</v>
      </c>
      <c r="B322" t="s">
        <v>13</v>
      </c>
      <c r="C322" t="s">
        <v>21</v>
      </c>
      <c r="D322">
        <v>100000</v>
      </c>
      <c r="E322">
        <v>0</v>
      </c>
      <c r="F322" s="2" t="s">
        <v>46</v>
      </c>
      <c r="G322" t="s">
        <v>35</v>
      </c>
      <c r="H322" t="s">
        <v>32</v>
      </c>
      <c r="I322" t="s">
        <v>17</v>
      </c>
      <c r="J322">
        <v>0</v>
      </c>
      <c r="K322" t="s">
        <v>43</v>
      </c>
      <c r="L322" t="s">
        <v>25</v>
      </c>
      <c r="M322" t="s">
        <v>28</v>
      </c>
      <c r="N322">
        <v>40</v>
      </c>
      <c r="O322" t="s">
        <v>17</v>
      </c>
    </row>
    <row r="323" spans="1:15" x14ac:dyDescent="0.25">
      <c r="A323">
        <v>322</v>
      </c>
      <c r="B323" t="s">
        <v>26</v>
      </c>
      <c r="C323" t="s">
        <v>14</v>
      </c>
      <c r="D323">
        <v>160000</v>
      </c>
      <c r="E323">
        <v>0</v>
      </c>
      <c r="F323" s="2" t="s">
        <v>46</v>
      </c>
      <c r="G323" t="s">
        <v>35</v>
      </c>
      <c r="H323" t="s">
        <v>32</v>
      </c>
      <c r="I323" t="s">
        <v>20</v>
      </c>
      <c r="J323">
        <v>3</v>
      </c>
      <c r="K323" t="s">
        <v>44</v>
      </c>
      <c r="L323" t="s">
        <v>18</v>
      </c>
      <c r="M323" t="s">
        <v>28</v>
      </c>
      <c r="N323">
        <v>47</v>
      </c>
      <c r="O323" t="s">
        <v>17</v>
      </c>
    </row>
    <row r="324" spans="1:15" x14ac:dyDescent="0.25">
      <c r="A324">
        <v>323</v>
      </c>
      <c r="B324" t="s">
        <v>26</v>
      </c>
      <c r="C324" t="s">
        <v>14</v>
      </c>
      <c r="D324">
        <v>10000</v>
      </c>
      <c r="E324">
        <v>4</v>
      </c>
      <c r="F324" s="2" t="s">
        <v>45</v>
      </c>
      <c r="G324" t="s">
        <v>33</v>
      </c>
      <c r="H324" t="s">
        <v>29</v>
      </c>
      <c r="I324" t="s">
        <v>17</v>
      </c>
      <c r="J324">
        <v>2</v>
      </c>
      <c r="K324" t="s">
        <v>44</v>
      </c>
      <c r="L324" t="s">
        <v>18</v>
      </c>
      <c r="M324" t="s">
        <v>19</v>
      </c>
      <c r="N324">
        <v>41</v>
      </c>
      <c r="O324" t="s">
        <v>17</v>
      </c>
    </row>
    <row r="325" spans="1:15" x14ac:dyDescent="0.25">
      <c r="A325">
        <v>324</v>
      </c>
      <c r="B325" t="s">
        <v>26</v>
      </c>
      <c r="C325" t="s">
        <v>14</v>
      </c>
      <c r="D325">
        <v>40000</v>
      </c>
      <c r="E325">
        <v>0</v>
      </c>
      <c r="F325" s="2" t="s">
        <v>46</v>
      </c>
      <c r="G325" t="s">
        <v>35</v>
      </c>
      <c r="H325" t="s">
        <v>23</v>
      </c>
      <c r="I325" t="s">
        <v>20</v>
      </c>
      <c r="J325">
        <v>0</v>
      </c>
      <c r="K325" t="s">
        <v>43</v>
      </c>
      <c r="L325" t="s">
        <v>18</v>
      </c>
      <c r="M325" t="s">
        <v>19</v>
      </c>
      <c r="N325">
        <v>37</v>
      </c>
      <c r="O325" t="s">
        <v>17</v>
      </c>
    </row>
    <row r="326" spans="1:15" x14ac:dyDescent="0.25">
      <c r="A326">
        <v>325</v>
      </c>
      <c r="B326" t="s">
        <v>13</v>
      </c>
      <c r="C326" t="s">
        <v>21</v>
      </c>
      <c r="D326">
        <v>90000</v>
      </c>
      <c r="E326">
        <v>4</v>
      </c>
      <c r="F326" s="2" t="s">
        <v>45</v>
      </c>
      <c r="G326" t="s">
        <v>15</v>
      </c>
      <c r="H326" t="s">
        <v>24</v>
      </c>
      <c r="I326" t="s">
        <v>17</v>
      </c>
      <c r="J326">
        <v>0</v>
      </c>
      <c r="K326" t="s">
        <v>43</v>
      </c>
      <c r="L326" t="s">
        <v>30</v>
      </c>
      <c r="M326" t="s">
        <v>28</v>
      </c>
      <c r="N326">
        <v>38</v>
      </c>
      <c r="O326" t="s">
        <v>17</v>
      </c>
    </row>
    <row r="327" spans="1:15" x14ac:dyDescent="0.25">
      <c r="A327">
        <v>326</v>
      </c>
      <c r="B327" t="s">
        <v>26</v>
      </c>
      <c r="C327" t="s">
        <v>21</v>
      </c>
      <c r="D327">
        <v>40000</v>
      </c>
      <c r="E327">
        <v>2</v>
      </c>
      <c r="F327" s="2" t="s">
        <v>45</v>
      </c>
      <c r="G327" t="s">
        <v>22</v>
      </c>
      <c r="H327" t="s">
        <v>23</v>
      </c>
      <c r="I327" t="s">
        <v>20</v>
      </c>
      <c r="J327">
        <v>2</v>
      </c>
      <c r="K327" t="s">
        <v>44</v>
      </c>
      <c r="L327" t="s">
        <v>18</v>
      </c>
      <c r="M327" t="s">
        <v>19</v>
      </c>
      <c r="N327">
        <v>36</v>
      </c>
      <c r="O327" t="s">
        <v>17</v>
      </c>
    </row>
    <row r="328" spans="1:15" x14ac:dyDescent="0.25">
      <c r="A328">
        <v>327</v>
      </c>
      <c r="B328" t="s">
        <v>13</v>
      </c>
      <c r="C328" t="s">
        <v>14</v>
      </c>
      <c r="D328">
        <v>20000</v>
      </c>
      <c r="E328">
        <v>0</v>
      </c>
      <c r="F328" s="2" t="s">
        <v>46</v>
      </c>
      <c r="G328" t="s">
        <v>15</v>
      </c>
      <c r="H328" t="s">
        <v>23</v>
      </c>
      <c r="I328" t="s">
        <v>20</v>
      </c>
      <c r="J328">
        <v>0</v>
      </c>
      <c r="K328" t="s">
        <v>43</v>
      </c>
      <c r="L328" t="s">
        <v>18</v>
      </c>
      <c r="M328" t="s">
        <v>28</v>
      </c>
      <c r="N328">
        <v>26</v>
      </c>
      <c r="O328" t="s">
        <v>17</v>
      </c>
    </row>
    <row r="329" spans="1:15" x14ac:dyDescent="0.25">
      <c r="A329">
        <v>328</v>
      </c>
      <c r="B329" t="s">
        <v>13</v>
      </c>
      <c r="C329" t="s">
        <v>21</v>
      </c>
      <c r="D329">
        <v>30000</v>
      </c>
      <c r="E329">
        <v>1</v>
      </c>
      <c r="F329" s="2" t="s">
        <v>45</v>
      </c>
      <c r="G329" t="s">
        <v>15</v>
      </c>
      <c r="H329" t="s">
        <v>16</v>
      </c>
      <c r="I329" t="s">
        <v>17</v>
      </c>
      <c r="J329">
        <v>2</v>
      </c>
      <c r="K329" t="s">
        <v>44</v>
      </c>
      <c r="L329" t="s">
        <v>18</v>
      </c>
      <c r="M329" t="s">
        <v>19</v>
      </c>
      <c r="N329">
        <v>40</v>
      </c>
      <c r="O329" t="s">
        <v>20</v>
      </c>
    </row>
    <row r="330" spans="1:15" x14ac:dyDescent="0.25">
      <c r="A330">
        <v>329</v>
      </c>
      <c r="B330" t="s">
        <v>26</v>
      </c>
      <c r="C330" t="s">
        <v>21</v>
      </c>
      <c r="D330">
        <v>40000</v>
      </c>
      <c r="E330">
        <v>2</v>
      </c>
      <c r="F330" s="2" t="s">
        <v>45</v>
      </c>
      <c r="G330" t="s">
        <v>22</v>
      </c>
      <c r="H330" t="s">
        <v>23</v>
      </c>
      <c r="I330" t="s">
        <v>17</v>
      </c>
      <c r="J330">
        <v>2</v>
      </c>
      <c r="K330" t="s">
        <v>44</v>
      </c>
      <c r="L330" t="s">
        <v>30</v>
      </c>
      <c r="M330" t="s">
        <v>19</v>
      </c>
      <c r="N330">
        <v>36</v>
      </c>
      <c r="O330" t="s">
        <v>20</v>
      </c>
    </row>
    <row r="331" spans="1:15" x14ac:dyDescent="0.25">
      <c r="A331">
        <v>330</v>
      </c>
      <c r="B331" t="s">
        <v>13</v>
      </c>
      <c r="C331" t="s">
        <v>14</v>
      </c>
      <c r="D331">
        <v>90000</v>
      </c>
      <c r="E331">
        <v>5</v>
      </c>
      <c r="F331" s="2" t="s">
        <v>45</v>
      </c>
      <c r="G331" t="s">
        <v>33</v>
      </c>
      <c r="H331" t="s">
        <v>16</v>
      </c>
      <c r="I331" t="s">
        <v>17</v>
      </c>
      <c r="J331">
        <v>2</v>
      </c>
      <c r="K331" t="s">
        <v>44</v>
      </c>
      <c r="L331" t="s">
        <v>34</v>
      </c>
      <c r="M331" t="s">
        <v>19</v>
      </c>
      <c r="N331">
        <v>59</v>
      </c>
      <c r="O331" t="s">
        <v>20</v>
      </c>
    </row>
    <row r="332" spans="1:15" x14ac:dyDescent="0.25">
      <c r="A332">
        <v>331</v>
      </c>
      <c r="B332" t="s">
        <v>26</v>
      </c>
      <c r="C332" t="s">
        <v>14</v>
      </c>
      <c r="D332">
        <v>80000</v>
      </c>
      <c r="E332">
        <v>0</v>
      </c>
      <c r="F332" s="2" t="s">
        <v>46</v>
      </c>
      <c r="G332" t="s">
        <v>15</v>
      </c>
      <c r="H332" t="s">
        <v>24</v>
      </c>
      <c r="I332" t="s">
        <v>17</v>
      </c>
      <c r="J332">
        <v>3</v>
      </c>
      <c r="K332" t="s">
        <v>44</v>
      </c>
      <c r="L332" t="s">
        <v>34</v>
      </c>
      <c r="M332" t="s">
        <v>28</v>
      </c>
      <c r="N332">
        <v>32</v>
      </c>
      <c r="O332" t="s">
        <v>20</v>
      </c>
    </row>
    <row r="333" spans="1:15" x14ac:dyDescent="0.25">
      <c r="A333">
        <v>332</v>
      </c>
      <c r="B333" t="s">
        <v>13</v>
      </c>
      <c r="C333" t="s">
        <v>21</v>
      </c>
      <c r="D333">
        <v>10000</v>
      </c>
      <c r="E333">
        <v>0</v>
      </c>
      <c r="F333" s="2" t="s">
        <v>46</v>
      </c>
      <c r="G333" t="s">
        <v>33</v>
      </c>
      <c r="H333" t="s">
        <v>29</v>
      </c>
      <c r="I333" t="s">
        <v>20</v>
      </c>
      <c r="J333">
        <v>2</v>
      </c>
      <c r="K333" t="s">
        <v>44</v>
      </c>
      <c r="L333" t="s">
        <v>18</v>
      </c>
      <c r="M333" t="s">
        <v>19</v>
      </c>
      <c r="N333">
        <v>30</v>
      </c>
      <c r="O333" t="s">
        <v>20</v>
      </c>
    </row>
    <row r="334" spans="1:15" x14ac:dyDescent="0.25">
      <c r="A334">
        <v>333</v>
      </c>
      <c r="B334" t="s">
        <v>26</v>
      </c>
      <c r="C334" t="s">
        <v>14</v>
      </c>
      <c r="D334">
        <v>20000</v>
      </c>
      <c r="E334">
        <v>0</v>
      </c>
      <c r="F334" s="2" t="s">
        <v>46</v>
      </c>
      <c r="G334" t="s">
        <v>33</v>
      </c>
      <c r="H334" t="s">
        <v>29</v>
      </c>
      <c r="I334" t="s">
        <v>20</v>
      </c>
      <c r="J334">
        <v>2</v>
      </c>
      <c r="K334" t="s">
        <v>44</v>
      </c>
      <c r="L334" t="s">
        <v>30</v>
      </c>
      <c r="M334" t="s">
        <v>19</v>
      </c>
      <c r="N334">
        <v>35</v>
      </c>
      <c r="O334" t="s">
        <v>17</v>
      </c>
    </row>
    <row r="335" spans="1:15" x14ac:dyDescent="0.25">
      <c r="A335">
        <v>334</v>
      </c>
      <c r="B335" t="s">
        <v>13</v>
      </c>
      <c r="C335" t="s">
        <v>21</v>
      </c>
      <c r="D335">
        <v>130000</v>
      </c>
      <c r="E335">
        <v>3</v>
      </c>
      <c r="F335" s="2" t="s">
        <v>45</v>
      </c>
      <c r="G335" t="s">
        <v>31</v>
      </c>
      <c r="H335" t="s">
        <v>24</v>
      </c>
      <c r="I335" t="s">
        <v>17</v>
      </c>
      <c r="J335">
        <v>4</v>
      </c>
      <c r="K335" t="s">
        <v>44</v>
      </c>
      <c r="L335" t="s">
        <v>27</v>
      </c>
      <c r="M335" t="s">
        <v>19</v>
      </c>
      <c r="N335">
        <v>51</v>
      </c>
      <c r="O335" t="s">
        <v>17</v>
      </c>
    </row>
    <row r="336" spans="1:15" x14ac:dyDescent="0.25">
      <c r="A336">
        <v>335</v>
      </c>
      <c r="B336" t="s">
        <v>13</v>
      </c>
      <c r="C336" t="s">
        <v>21</v>
      </c>
      <c r="D336">
        <v>90000</v>
      </c>
      <c r="E336">
        <v>2</v>
      </c>
      <c r="F336" s="2" t="s">
        <v>45</v>
      </c>
      <c r="G336" t="s">
        <v>15</v>
      </c>
      <c r="H336" t="s">
        <v>24</v>
      </c>
      <c r="I336" t="s">
        <v>17</v>
      </c>
      <c r="J336">
        <v>1</v>
      </c>
      <c r="K336" t="s">
        <v>44</v>
      </c>
      <c r="L336" t="s">
        <v>27</v>
      </c>
      <c r="M336" t="s">
        <v>28</v>
      </c>
      <c r="N336">
        <v>47</v>
      </c>
      <c r="O336" t="s">
        <v>20</v>
      </c>
    </row>
    <row r="337" spans="1:15" x14ac:dyDescent="0.25">
      <c r="A337">
        <v>336</v>
      </c>
      <c r="B337" t="s">
        <v>13</v>
      </c>
      <c r="C337" t="s">
        <v>21</v>
      </c>
      <c r="D337">
        <v>80000</v>
      </c>
      <c r="E337">
        <v>5</v>
      </c>
      <c r="F337" s="2" t="s">
        <v>45</v>
      </c>
      <c r="G337" t="s">
        <v>35</v>
      </c>
      <c r="H337" t="s">
        <v>32</v>
      </c>
      <c r="I337" t="s">
        <v>20</v>
      </c>
      <c r="J337">
        <v>2</v>
      </c>
      <c r="K337" t="s">
        <v>44</v>
      </c>
      <c r="L337" t="s">
        <v>18</v>
      </c>
      <c r="M337" t="s">
        <v>28</v>
      </c>
      <c r="N337">
        <v>39</v>
      </c>
      <c r="O337" t="s">
        <v>20</v>
      </c>
    </row>
    <row r="338" spans="1:15" x14ac:dyDescent="0.25">
      <c r="A338">
        <v>337</v>
      </c>
      <c r="B338" t="s">
        <v>26</v>
      </c>
      <c r="C338" t="s">
        <v>21</v>
      </c>
      <c r="D338">
        <v>20000</v>
      </c>
      <c r="E338">
        <v>0</v>
      </c>
      <c r="F338" s="2" t="s">
        <v>46</v>
      </c>
      <c r="G338" t="s">
        <v>33</v>
      </c>
      <c r="H338" t="s">
        <v>29</v>
      </c>
      <c r="I338" t="s">
        <v>20</v>
      </c>
      <c r="J338">
        <v>2</v>
      </c>
      <c r="K338" t="s">
        <v>44</v>
      </c>
      <c r="L338" t="s">
        <v>18</v>
      </c>
      <c r="M338" t="s">
        <v>19</v>
      </c>
      <c r="N338">
        <v>34</v>
      </c>
      <c r="O338" t="s">
        <v>20</v>
      </c>
    </row>
    <row r="339" spans="1:15" x14ac:dyDescent="0.25">
      <c r="A339">
        <v>338</v>
      </c>
      <c r="B339" t="s">
        <v>13</v>
      </c>
      <c r="C339" t="s">
        <v>21</v>
      </c>
      <c r="D339">
        <v>10000</v>
      </c>
      <c r="E339">
        <v>0</v>
      </c>
      <c r="F339" s="2" t="s">
        <v>46</v>
      </c>
      <c r="G339" t="s">
        <v>33</v>
      </c>
      <c r="H339" t="s">
        <v>29</v>
      </c>
      <c r="I339" t="s">
        <v>17</v>
      </c>
      <c r="J339">
        <v>2</v>
      </c>
      <c r="K339" t="s">
        <v>44</v>
      </c>
      <c r="L339" t="s">
        <v>18</v>
      </c>
      <c r="M339" t="s">
        <v>19</v>
      </c>
      <c r="N339">
        <v>32</v>
      </c>
      <c r="O339" t="s">
        <v>20</v>
      </c>
    </row>
    <row r="340" spans="1:15" x14ac:dyDescent="0.25">
      <c r="A340">
        <v>339</v>
      </c>
      <c r="B340" t="s">
        <v>26</v>
      </c>
      <c r="C340" t="s">
        <v>14</v>
      </c>
      <c r="D340">
        <v>120000</v>
      </c>
      <c r="E340">
        <v>3</v>
      </c>
      <c r="F340" s="2" t="s">
        <v>45</v>
      </c>
      <c r="G340" t="s">
        <v>31</v>
      </c>
      <c r="H340" t="s">
        <v>24</v>
      </c>
      <c r="I340" t="s">
        <v>17</v>
      </c>
      <c r="J340">
        <v>4</v>
      </c>
      <c r="K340" t="s">
        <v>44</v>
      </c>
      <c r="L340" t="s">
        <v>27</v>
      </c>
      <c r="M340" t="s">
        <v>19</v>
      </c>
      <c r="N340">
        <v>50</v>
      </c>
      <c r="O340" t="s">
        <v>17</v>
      </c>
    </row>
    <row r="341" spans="1:15" x14ac:dyDescent="0.25">
      <c r="A341">
        <v>340</v>
      </c>
      <c r="B341" t="s">
        <v>13</v>
      </c>
      <c r="C341" t="s">
        <v>21</v>
      </c>
      <c r="D341">
        <v>20000</v>
      </c>
      <c r="E341">
        <v>1</v>
      </c>
      <c r="F341" s="2" t="s">
        <v>45</v>
      </c>
      <c r="G341" t="s">
        <v>15</v>
      </c>
      <c r="H341" t="s">
        <v>23</v>
      </c>
      <c r="I341" t="s">
        <v>17</v>
      </c>
      <c r="J341">
        <v>0</v>
      </c>
      <c r="K341" t="s">
        <v>43</v>
      </c>
      <c r="L341" t="s">
        <v>18</v>
      </c>
      <c r="M341" t="s">
        <v>19</v>
      </c>
      <c r="N341">
        <v>66</v>
      </c>
      <c r="O341" t="s">
        <v>20</v>
      </c>
    </row>
    <row r="342" spans="1:15" x14ac:dyDescent="0.25">
      <c r="A342">
        <v>341</v>
      </c>
      <c r="B342" t="s">
        <v>26</v>
      </c>
      <c r="C342" t="s">
        <v>21</v>
      </c>
      <c r="D342">
        <v>30000</v>
      </c>
      <c r="E342">
        <v>0</v>
      </c>
      <c r="F342" s="2" t="s">
        <v>46</v>
      </c>
      <c r="G342" t="s">
        <v>22</v>
      </c>
      <c r="H342" t="s">
        <v>23</v>
      </c>
      <c r="I342" t="s">
        <v>17</v>
      </c>
      <c r="J342">
        <v>1</v>
      </c>
      <c r="K342" t="s">
        <v>44</v>
      </c>
      <c r="L342" t="s">
        <v>25</v>
      </c>
      <c r="M342" t="s">
        <v>19</v>
      </c>
      <c r="N342">
        <v>30</v>
      </c>
      <c r="O342" t="s">
        <v>20</v>
      </c>
    </row>
    <row r="343" spans="1:15" x14ac:dyDescent="0.25">
      <c r="A343">
        <v>342</v>
      </c>
      <c r="B343" t="s">
        <v>26</v>
      </c>
      <c r="C343" t="s">
        <v>14</v>
      </c>
      <c r="D343">
        <v>30000</v>
      </c>
      <c r="E343">
        <v>0</v>
      </c>
      <c r="F343" s="2" t="s">
        <v>46</v>
      </c>
      <c r="G343" t="s">
        <v>31</v>
      </c>
      <c r="H343" t="s">
        <v>29</v>
      </c>
      <c r="I343" t="s">
        <v>20</v>
      </c>
      <c r="J343">
        <v>1</v>
      </c>
      <c r="K343" t="s">
        <v>44</v>
      </c>
      <c r="L343" t="s">
        <v>25</v>
      </c>
      <c r="M343" t="s">
        <v>19</v>
      </c>
      <c r="N343">
        <v>32</v>
      </c>
      <c r="O343" t="s">
        <v>17</v>
      </c>
    </row>
    <row r="344" spans="1:15" x14ac:dyDescent="0.25">
      <c r="A344">
        <v>343</v>
      </c>
      <c r="B344" t="s">
        <v>26</v>
      </c>
      <c r="C344" t="s">
        <v>21</v>
      </c>
      <c r="D344">
        <v>10000</v>
      </c>
      <c r="E344">
        <v>0</v>
      </c>
      <c r="F344" s="2" t="s">
        <v>46</v>
      </c>
      <c r="G344" t="s">
        <v>33</v>
      </c>
      <c r="H344" t="s">
        <v>29</v>
      </c>
      <c r="I344" t="s">
        <v>17</v>
      </c>
      <c r="J344">
        <v>2</v>
      </c>
      <c r="K344" t="s">
        <v>44</v>
      </c>
      <c r="L344" t="s">
        <v>30</v>
      </c>
      <c r="M344" t="s">
        <v>19</v>
      </c>
      <c r="N344">
        <v>35</v>
      </c>
      <c r="O344" t="s">
        <v>20</v>
      </c>
    </row>
    <row r="345" spans="1:15" x14ac:dyDescent="0.25">
      <c r="A345">
        <v>344</v>
      </c>
      <c r="B345" t="s">
        <v>26</v>
      </c>
      <c r="C345" t="s">
        <v>14</v>
      </c>
      <c r="D345">
        <v>30000</v>
      </c>
      <c r="E345">
        <v>0</v>
      </c>
      <c r="F345" s="2" t="s">
        <v>46</v>
      </c>
      <c r="G345" t="s">
        <v>31</v>
      </c>
      <c r="H345" t="s">
        <v>29</v>
      </c>
      <c r="I345" t="s">
        <v>20</v>
      </c>
      <c r="J345">
        <v>1</v>
      </c>
      <c r="K345" t="s">
        <v>44</v>
      </c>
      <c r="L345" t="s">
        <v>25</v>
      </c>
      <c r="M345" t="s">
        <v>19</v>
      </c>
      <c r="N345">
        <v>32</v>
      </c>
      <c r="O345" t="s">
        <v>20</v>
      </c>
    </row>
    <row r="346" spans="1:15" x14ac:dyDescent="0.25">
      <c r="A346">
        <v>345</v>
      </c>
      <c r="B346" t="s">
        <v>26</v>
      </c>
      <c r="C346" t="s">
        <v>21</v>
      </c>
      <c r="D346">
        <v>30000</v>
      </c>
      <c r="E346">
        <v>0</v>
      </c>
      <c r="F346" s="2" t="s">
        <v>46</v>
      </c>
      <c r="G346" t="s">
        <v>22</v>
      </c>
      <c r="H346" t="s">
        <v>23</v>
      </c>
      <c r="I346" t="s">
        <v>20</v>
      </c>
      <c r="J346">
        <v>1</v>
      </c>
      <c r="K346" t="s">
        <v>44</v>
      </c>
      <c r="L346" t="s">
        <v>25</v>
      </c>
      <c r="M346" t="s">
        <v>19</v>
      </c>
      <c r="N346">
        <v>31</v>
      </c>
      <c r="O346" t="s">
        <v>17</v>
      </c>
    </row>
    <row r="347" spans="1:15" x14ac:dyDescent="0.25">
      <c r="A347">
        <v>346</v>
      </c>
      <c r="B347" t="s">
        <v>13</v>
      </c>
      <c r="C347" t="s">
        <v>14</v>
      </c>
      <c r="D347">
        <v>20000</v>
      </c>
      <c r="E347">
        <v>1</v>
      </c>
      <c r="F347" s="2" t="s">
        <v>45</v>
      </c>
      <c r="G347" t="s">
        <v>15</v>
      </c>
      <c r="H347" t="s">
        <v>23</v>
      </c>
      <c r="I347" t="s">
        <v>17</v>
      </c>
      <c r="J347">
        <v>0</v>
      </c>
      <c r="K347" t="s">
        <v>43</v>
      </c>
      <c r="L347" t="s">
        <v>18</v>
      </c>
      <c r="M347" t="s">
        <v>19</v>
      </c>
      <c r="N347">
        <v>50</v>
      </c>
      <c r="O347" t="s">
        <v>17</v>
      </c>
    </row>
    <row r="348" spans="1:15" x14ac:dyDescent="0.25">
      <c r="A348">
        <v>347</v>
      </c>
      <c r="B348" t="s">
        <v>13</v>
      </c>
      <c r="C348" t="s">
        <v>21</v>
      </c>
      <c r="D348">
        <v>40000</v>
      </c>
      <c r="E348">
        <v>1</v>
      </c>
      <c r="F348" s="2" t="s">
        <v>45</v>
      </c>
      <c r="G348" t="s">
        <v>15</v>
      </c>
      <c r="H348" t="s">
        <v>16</v>
      </c>
      <c r="I348" t="s">
        <v>20</v>
      </c>
      <c r="J348">
        <v>0</v>
      </c>
      <c r="K348" t="s">
        <v>43</v>
      </c>
      <c r="L348" t="s">
        <v>18</v>
      </c>
      <c r="M348" t="s">
        <v>19</v>
      </c>
      <c r="N348">
        <v>43</v>
      </c>
      <c r="O348" t="s">
        <v>17</v>
      </c>
    </row>
    <row r="349" spans="1:15" x14ac:dyDescent="0.25">
      <c r="A349">
        <v>348</v>
      </c>
      <c r="B349" t="s">
        <v>26</v>
      </c>
      <c r="C349" t="s">
        <v>14</v>
      </c>
      <c r="D349">
        <v>60000</v>
      </c>
      <c r="E349">
        <v>1</v>
      </c>
      <c r="F349" s="2" t="s">
        <v>45</v>
      </c>
      <c r="G349" t="s">
        <v>22</v>
      </c>
      <c r="H349" t="s">
        <v>16</v>
      </c>
      <c r="I349" t="s">
        <v>20</v>
      </c>
      <c r="J349">
        <v>1</v>
      </c>
      <c r="K349" t="s">
        <v>44</v>
      </c>
      <c r="L349" t="s">
        <v>18</v>
      </c>
      <c r="M349" t="s">
        <v>28</v>
      </c>
      <c r="N349">
        <v>45</v>
      </c>
      <c r="O349" t="s">
        <v>17</v>
      </c>
    </row>
    <row r="350" spans="1:15" x14ac:dyDescent="0.25">
      <c r="A350">
        <v>349</v>
      </c>
      <c r="B350" t="s">
        <v>13</v>
      </c>
      <c r="C350" t="s">
        <v>21</v>
      </c>
      <c r="D350">
        <v>20000</v>
      </c>
      <c r="E350">
        <v>2</v>
      </c>
      <c r="F350" s="2" t="s">
        <v>45</v>
      </c>
      <c r="G350" t="s">
        <v>31</v>
      </c>
      <c r="H350" t="s">
        <v>29</v>
      </c>
      <c r="I350" t="s">
        <v>17</v>
      </c>
      <c r="J350">
        <v>2</v>
      </c>
      <c r="K350" t="s">
        <v>44</v>
      </c>
      <c r="L350" t="s">
        <v>18</v>
      </c>
      <c r="M350" t="s">
        <v>19</v>
      </c>
      <c r="N350">
        <v>42</v>
      </c>
      <c r="O350" t="s">
        <v>20</v>
      </c>
    </row>
    <row r="351" spans="1:15" x14ac:dyDescent="0.25">
      <c r="A351">
        <v>350</v>
      </c>
      <c r="B351" t="s">
        <v>26</v>
      </c>
      <c r="C351" t="s">
        <v>14</v>
      </c>
      <c r="D351">
        <v>30000</v>
      </c>
      <c r="E351">
        <v>0</v>
      </c>
      <c r="F351" s="2" t="s">
        <v>46</v>
      </c>
      <c r="G351" t="s">
        <v>22</v>
      </c>
      <c r="H351" t="s">
        <v>23</v>
      </c>
      <c r="I351" t="s">
        <v>20</v>
      </c>
      <c r="J351">
        <v>1</v>
      </c>
      <c r="K351" t="s">
        <v>44</v>
      </c>
      <c r="L351" t="s">
        <v>18</v>
      </c>
      <c r="M351" t="s">
        <v>19</v>
      </c>
      <c r="N351">
        <v>29</v>
      </c>
      <c r="O351" t="s">
        <v>17</v>
      </c>
    </row>
    <row r="352" spans="1:15" x14ac:dyDescent="0.25">
      <c r="A352">
        <v>351</v>
      </c>
      <c r="B352" t="s">
        <v>26</v>
      </c>
      <c r="C352" t="s">
        <v>21</v>
      </c>
      <c r="D352">
        <v>20000</v>
      </c>
      <c r="E352">
        <v>0</v>
      </c>
      <c r="F352" s="2" t="s">
        <v>46</v>
      </c>
      <c r="G352" t="s">
        <v>22</v>
      </c>
      <c r="H352" t="s">
        <v>29</v>
      </c>
      <c r="I352" t="s">
        <v>20</v>
      </c>
      <c r="J352">
        <v>0</v>
      </c>
      <c r="K352" t="s">
        <v>43</v>
      </c>
      <c r="L352" t="s">
        <v>18</v>
      </c>
      <c r="M352" t="s">
        <v>28</v>
      </c>
      <c r="N352">
        <v>28</v>
      </c>
      <c r="O352" t="s">
        <v>17</v>
      </c>
    </row>
    <row r="353" spans="1:15" x14ac:dyDescent="0.25">
      <c r="A353">
        <v>352</v>
      </c>
      <c r="B353" t="s">
        <v>26</v>
      </c>
      <c r="C353" t="s">
        <v>21</v>
      </c>
      <c r="D353">
        <v>10000</v>
      </c>
      <c r="E353">
        <v>3</v>
      </c>
      <c r="F353" s="2" t="s">
        <v>45</v>
      </c>
      <c r="G353" t="s">
        <v>31</v>
      </c>
      <c r="H353" t="s">
        <v>29</v>
      </c>
      <c r="I353" t="s">
        <v>17</v>
      </c>
      <c r="J353">
        <v>0</v>
      </c>
      <c r="K353" t="s">
        <v>43</v>
      </c>
      <c r="L353" t="s">
        <v>18</v>
      </c>
      <c r="M353" t="s">
        <v>19</v>
      </c>
      <c r="N353">
        <v>37</v>
      </c>
      <c r="O353" t="s">
        <v>17</v>
      </c>
    </row>
    <row r="354" spans="1:15" x14ac:dyDescent="0.25">
      <c r="A354">
        <v>353</v>
      </c>
      <c r="B354" t="s">
        <v>13</v>
      </c>
      <c r="C354" t="s">
        <v>14</v>
      </c>
      <c r="D354">
        <v>80000</v>
      </c>
      <c r="E354">
        <v>4</v>
      </c>
      <c r="F354" s="2" t="s">
        <v>45</v>
      </c>
      <c r="G354" t="s">
        <v>22</v>
      </c>
      <c r="H354" t="s">
        <v>24</v>
      </c>
      <c r="I354" t="s">
        <v>17</v>
      </c>
      <c r="J354">
        <v>2</v>
      </c>
      <c r="K354" t="s">
        <v>44</v>
      </c>
      <c r="L354" t="s">
        <v>25</v>
      </c>
      <c r="M354" t="s">
        <v>19</v>
      </c>
      <c r="N354">
        <v>53</v>
      </c>
      <c r="O354" t="s">
        <v>20</v>
      </c>
    </row>
    <row r="355" spans="1:15" x14ac:dyDescent="0.25">
      <c r="A355">
        <v>354</v>
      </c>
      <c r="B355" t="s">
        <v>26</v>
      </c>
      <c r="C355" t="s">
        <v>21</v>
      </c>
      <c r="D355">
        <v>40000</v>
      </c>
      <c r="E355">
        <v>0</v>
      </c>
      <c r="F355" s="2" t="s">
        <v>46</v>
      </c>
      <c r="G355" t="s">
        <v>35</v>
      </c>
      <c r="H355" t="s">
        <v>23</v>
      </c>
      <c r="I355" t="s">
        <v>20</v>
      </c>
      <c r="J355">
        <v>0</v>
      </c>
      <c r="K355" t="s">
        <v>43</v>
      </c>
      <c r="L355" t="s">
        <v>18</v>
      </c>
      <c r="M355" t="s">
        <v>19</v>
      </c>
      <c r="N355">
        <v>38</v>
      </c>
      <c r="O355" t="s">
        <v>17</v>
      </c>
    </row>
    <row r="356" spans="1:15" x14ac:dyDescent="0.25">
      <c r="A356">
        <v>355</v>
      </c>
      <c r="B356" t="s">
        <v>26</v>
      </c>
      <c r="C356" t="s">
        <v>21</v>
      </c>
      <c r="D356">
        <v>30000</v>
      </c>
      <c r="E356">
        <v>1</v>
      </c>
      <c r="F356" s="2" t="s">
        <v>45</v>
      </c>
      <c r="G356" t="s">
        <v>15</v>
      </c>
      <c r="H356" t="s">
        <v>23</v>
      </c>
      <c r="I356" t="s">
        <v>20</v>
      </c>
      <c r="J356">
        <v>1</v>
      </c>
      <c r="K356" t="s">
        <v>44</v>
      </c>
      <c r="L356" t="s">
        <v>30</v>
      </c>
      <c r="M356" t="s">
        <v>19</v>
      </c>
      <c r="N356">
        <v>39</v>
      </c>
      <c r="O356" t="s">
        <v>20</v>
      </c>
    </row>
    <row r="357" spans="1:15" x14ac:dyDescent="0.25">
      <c r="A357">
        <v>356</v>
      </c>
      <c r="B357" t="s">
        <v>26</v>
      </c>
      <c r="C357" t="s">
        <v>21</v>
      </c>
      <c r="D357">
        <v>80000</v>
      </c>
      <c r="E357">
        <v>0</v>
      </c>
      <c r="F357" s="2" t="s">
        <v>46</v>
      </c>
      <c r="G357" t="s">
        <v>15</v>
      </c>
      <c r="H357" t="s">
        <v>24</v>
      </c>
      <c r="I357" t="s">
        <v>17</v>
      </c>
      <c r="J357">
        <v>3</v>
      </c>
      <c r="K357" t="s">
        <v>44</v>
      </c>
      <c r="L357" t="s">
        <v>34</v>
      </c>
      <c r="M357" t="s">
        <v>28</v>
      </c>
      <c r="N357">
        <v>32</v>
      </c>
      <c r="O357" t="s">
        <v>20</v>
      </c>
    </row>
    <row r="358" spans="1:15" x14ac:dyDescent="0.25">
      <c r="A358">
        <v>357</v>
      </c>
      <c r="B358" t="s">
        <v>13</v>
      </c>
      <c r="C358" t="s">
        <v>14</v>
      </c>
      <c r="D358">
        <v>150000</v>
      </c>
      <c r="E358">
        <v>3</v>
      </c>
      <c r="F358" s="2" t="s">
        <v>45</v>
      </c>
      <c r="G358" t="s">
        <v>31</v>
      </c>
      <c r="H358" t="s">
        <v>24</v>
      </c>
      <c r="I358" t="s">
        <v>17</v>
      </c>
      <c r="J358">
        <v>3</v>
      </c>
      <c r="K358" t="s">
        <v>44</v>
      </c>
      <c r="L358" t="s">
        <v>18</v>
      </c>
      <c r="M358" t="s">
        <v>19</v>
      </c>
      <c r="N358">
        <v>51</v>
      </c>
      <c r="O358" t="s">
        <v>17</v>
      </c>
    </row>
    <row r="359" spans="1:15" x14ac:dyDescent="0.25">
      <c r="A359">
        <v>358</v>
      </c>
      <c r="B359" t="s">
        <v>26</v>
      </c>
      <c r="C359" t="s">
        <v>14</v>
      </c>
      <c r="D359">
        <v>10000</v>
      </c>
      <c r="E359">
        <v>0</v>
      </c>
      <c r="F359" s="2" t="s">
        <v>46</v>
      </c>
      <c r="G359" t="s">
        <v>33</v>
      </c>
      <c r="H359" t="s">
        <v>29</v>
      </c>
      <c r="I359" t="s">
        <v>17</v>
      </c>
      <c r="J359">
        <v>2</v>
      </c>
      <c r="K359" t="s">
        <v>44</v>
      </c>
      <c r="L359" t="s">
        <v>30</v>
      </c>
      <c r="M359" t="s">
        <v>19</v>
      </c>
      <c r="N359">
        <v>33</v>
      </c>
      <c r="O359" t="s">
        <v>20</v>
      </c>
    </row>
    <row r="360" spans="1:15" x14ac:dyDescent="0.25">
      <c r="A360">
        <v>359</v>
      </c>
      <c r="B360" t="s">
        <v>13</v>
      </c>
      <c r="C360" t="s">
        <v>21</v>
      </c>
      <c r="D360">
        <v>90000</v>
      </c>
      <c r="E360">
        <v>4</v>
      </c>
      <c r="F360" s="2" t="s">
        <v>45</v>
      </c>
      <c r="G360" t="s">
        <v>31</v>
      </c>
      <c r="H360" t="s">
        <v>32</v>
      </c>
      <c r="I360" t="s">
        <v>17</v>
      </c>
      <c r="J360">
        <v>3</v>
      </c>
      <c r="K360" t="s">
        <v>44</v>
      </c>
      <c r="L360" t="s">
        <v>27</v>
      </c>
      <c r="M360" t="s">
        <v>19</v>
      </c>
      <c r="N360">
        <v>58</v>
      </c>
      <c r="O360" t="s">
        <v>17</v>
      </c>
    </row>
    <row r="361" spans="1:15" x14ac:dyDescent="0.25">
      <c r="A361">
        <v>360</v>
      </c>
      <c r="B361" t="s">
        <v>13</v>
      </c>
      <c r="C361" t="s">
        <v>21</v>
      </c>
      <c r="D361">
        <v>80000</v>
      </c>
      <c r="E361">
        <v>0</v>
      </c>
      <c r="F361" s="2" t="s">
        <v>46</v>
      </c>
      <c r="G361" t="s">
        <v>15</v>
      </c>
      <c r="H361" t="s">
        <v>24</v>
      </c>
      <c r="I361" t="s">
        <v>17</v>
      </c>
      <c r="J361">
        <v>3</v>
      </c>
      <c r="K361" t="s">
        <v>44</v>
      </c>
      <c r="L361" t="s">
        <v>34</v>
      </c>
      <c r="M361" t="s">
        <v>28</v>
      </c>
      <c r="N361">
        <v>30</v>
      </c>
      <c r="O361" t="s">
        <v>20</v>
      </c>
    </row>
    <row r="362" spans="1:15" x14ac:dyDescent="0.25">
      <c r="A362">
        <v>361</v>
      </c>
      <c r="B362" t="s">
        <v>26</v>
      </c>
      <c r="C362" t="s">
        <v>21</v>
      </c>
      <c r="D362">
        <v>130000</v>
      </c>
      <c r="E362">
        <v>0</v>
      </c>
      <c r="F362" s="2" t="s">
        <v>46</v>
      </c>
      <c r="G362" t="s">
        <v>35</v>
      </c>
      <c r="H362" t="s">
        <v>32</v>
      </c>
      <c r="I362" t="s">
        <v>17</v>
      </c>
      <c r="J362">
        <v>0</v>
      </c>
      <c r="K362" t="s">
        <v>43</v>
      </c>
      <c r="L362" t="s">
        <v>25</v>
      </c>
      <c r="M362" t="s">
        <v>28</v>
      </c>
      <c r="N362">
        <v>48</v>
      </c>
      <c r="O362" t="s">
        <v>17</v>
      </c>
    </row>
    <row r="363" spans="1:15" x14ac:dyDescent="0.25">
      <c r="A363">
        <v>362</v>
      </c>
      <c r="B363" t="s">
        <v>26</v>
      </c>
      <c r="C363" t="s">
        <v>14</v>
      </c>
      <c r="D363">
        <v>30000</v>
      </c>
      <c r="E363">
        <v>3</v>
      </c>
      <c r="F363" s="2" t="s">
        <v>45</v>
      </c>
      <c r="G363" t="s">
        <v>22</v>
      </c>
      <c r="H363" t="s">
        <v>23</v>
      </c>
      <c r="I363" t="s">
        <v>20</v>
      </c>
      <c r="J363">
        <v>2</v>
      </c>
      <c r="K363" t="s">
        <v>44</v>
      </c>
      <c r="L363" t="s">
        <v>18</v>
      </c>
      <c r="M363" t="s">
        <v>19</v>
      </c>
      <c r="N363">
        <v>27</v>
      </c>
      <c r="O363" t="s">
        <v>17</v>
      </c>
    </row>
    <row r="364" spans="1:15" x14ac:dyDescent="0.25">
      <c r="A364">
        <v>363</v>
      </c>
      <c r="B364" t="s">
        <v>13</v>
      </c>
      <c r="C364" t="s">
        <v>21</v>
      </c>
      <c r="D364">
        <v>40000</v>
      </c>
      <c r="E364">
        <v>1</v>
      </c>
      <c r="F364" s="2" t="s">
        <v>45</v>
      </c>
      <c r="G364" t="s">
        <v>15</v>
      </c>
      <c r="H364" t="s">
        <v>16</v>
      </c>
      <c r="I364" t="s">
        <v>17</v>
      </c>
      <c r="J364">
        <v>1</v>
      </c>
      <c r="K364" t="s">
        <v>44</v>
      </c>
      <c r="L364" t="s">
        <v>18</v>
      </c>
      <c r="M364" t="s">
        <v>19</v>
      </c>
      <c r="N364">
        <v>33</v>
      </c>
      <c r="O364" t="s">
        <v>17</v>
      </c>
    </row>
    <row r="365" spans="1:15" x14ac:dyDescent="0.25">
      <c r="A365">
        <v>364</v>
      </c>
      <c r="B365" t="s">
        <v>13</v>
      </c>
      <c r="C365" t="s">
        <v>14</v>
      </c>
      <c r="D365">
        <v>40000</v>
      </c>
      <c r="E365">
        <v>2</v>
      </c>
      <c r="F365" s="2" t="s">
        <v>45</v>
      </c>
      <c r="G365" t="s">
        <v>15</v>
      </c>
      <c r="H365" t="s">
        <v>32</v>
      </c>
      <c r="I365" t="s">
        <v>17</v>
      </c>
      <c r="J365">
        <v>2</v>
      </c>
      <c r="K365" t="s">
        <v>44</v>
      </c>
      <c r="L365" t="s">
        <v>18</v>
      </c>
      <c r="M365" t="s">
        <v>28</v>
      </c>
      <c r="N365">
        <v>66</v>
      </c>
      <c r="O365" t="s">
        <v>17</v>
      </c>
    </row>
    <row r="366" spans="1:15" x14ac:dyDescent="0.25">
      <c r="A366">
        <v>365</v>
      </c>
      <c r="B366" t="s">
        <v>26</v>
      </c>
      <c r="C366" t="s">
        <v>14</v>
      </c>
      <c r="D366">
        <v>10000</v>
      </c>
      <c r="E366">
        <v>2</v>
      </c>
      <c r="F366" s="2" t="s">
        <v>45</v>
      </c>
      <c r="G366" t="s">
        <v>31</v>
      </c>
      <c r="H366" t="s">
        <v>29</v>
      </c>
      <c r="I366" t="s">
        <v>17</v>
      </c>
      <c r="J366">
        <v>1</v>
      </c>
      <c r="K366" t="s">
        <v>44</v>
      </c>
      <c r="L366" t="s">
        <v>18</v>
      </c>
      <c r="M366" t="s">
        <v>19</v>
      </c>
      <c r="N366">
        <v>38</v>
      </c>
      <c r="O366" t="s">
        <v>17</v>
      </c>
    </row>
    <row r="367" spans="1:15" x14ac:dyDescent="0.25">
      <c r="A367">
        <v>366</v>
      </c>
      <c r="B367" t="s">
        <v>26</v>
      </c>
      <c r="C367" t="s">
        <v>14</v>
      </c>
      <c r="D367">
        <v>40000</v>
      </c>
      <c r="E367">
        <v>0</v>
      </c>
      <c r="F367" s="2" t="s">
        <v>46</v>
      </c>
      <c r="G367" t="s">
        <v>15</v>
      </c>
      <c r="H367" t="s">
        <v>23</v>
      </c>
      <c r="I367" t="s">
        <v>20</v>
      </c>
      <c r="J367">
        <v>0</v>
      </c>
      <c r="K367" t="s">
        <v>43</v>
      </c>
      <c r="L367" t="s">
        <v>18</v>
      </c>
      <c r="M367" t="s">
        <v>19</v>
      </c>
      <c r="N367">
        <v>38</v>
      </c>
      <c r="O367" t="s">
        <v>17</v>
      </c>
    </row>
    <row r="368" spans="1:15" x14ac:dyDescent="0.25">
      <c r="A368">
        <v>367</v>
      </c>
      <c r="B368" t="s">
        <v>13</v>
      </c>
      <c r="C368" t="s">
        <v>21</v>
      </c>
      <c r="D368">
        <v>60000</v>
      </c>
      <c r="E368">
        <v>1</v>
      </c>
      <c r="F368" s="2" t="s">
        <v>45</v>
      </c>
      <c r="G368" t="s">
        <v>22</v>
      </c>
      <c r="H368" t="s">
        <v>16</v>
      </c>
      <c r="I368" t="s">
        <v>17</v>
      </c>
      <c r="J368">
        <v>1</v>
      </c>
      <c r="K368" t="s">
        <v>44</v>
      </c>
      <c r="L368" t="s">
        <v>18</v>
      </c>
      <c r="M368" t="s">
        <v>28</v>
      </c>
      <c r="N368">
        <v>45</v>
      </c>
      <c r="O368" t="s">
        <v>17</v>
      </c>
    </row>
    <row r="369" spans="1:15" x14ac:dyDescent="0.25">
      <c r="A369">
        <v>368</v>
      </c>
      <c r="B369" t="s">
        <v>13</v>
      </c>
      <c r="C369" t="s">
        <v>14</v>
      </c>
      <c r="D369">
        <v>130000</v>
      </c>
      <c r="E369">
        <v>3</v>
      </c>
      <c r="F369" s="2" t="s">
        <v>45</v>
      </c>
      <c r="G369" t="s">
        <v>22</v>
      </c>
      <c r="H369" t="s">
        <v>24</v>
      </c>
      <c r="I369" t="s">
        <v>17</v>
      </c>
      <c r="J369">
        <v>3</v>
      </c>
      <c r="K369" t="s">
        <v>44</v>
      </c>
      <c r="L369" t="s">
        <v>27</v>
      </c>
      <c r="M369" t="s">
        <v>19</v>
      </c>
      <c r="N369">
        <v>50</v>
      </c>
      <c r="O369" t="s">
        <v>17</v>
      </c>
    </row>
    <row r="370" spans="1:15" x14ac:dyDescent="0.25">
      <c r="A370">
        <v>369</v>
      </c>
      <c r="B370" t="s">
        <v>26</v>
      </c>
      <c r="C370" t="s">
        <v>14</v>
      </c>
      <c r="D370">
        <v>30000</v>
      </c>
      <c r="E370">
        <v>2</v>
      </c>
      <c r="F370" s="2" t="s">
        <v>45</v>
      </c>
      <c r="G370" t="s">
        <v>22</v>
      </c>
      <c r="H370" t="s">
        <v>23</v>
      </c>
      <c r="I370" t="s">
        <v>20</v>
      </c>
      <c r="J370">
        <v>2</v>
      </c>
      <c r="K370" t="s">
        <v>44</v>
      </c>
      <c r="L370" t="s">
        <v>27</v>
      </c>
      <c r="M370" t="s">
        <v>28</v>
      </c>
      <c r="N370">
        <v>60</v>
      </c>
      <c r="O370" t="s">
        <v>17</v>
      </c>
    </row>
    <row r="371" spans="1:15" x14ac:dyDescent="0.25">
      <c r="A371">
        <v>370</v>
      </c>
      <c r="B371" t="s">
        <v>26</v>
      </c>
      <c r="C371" t="s">
        <v>14</v>
      </c>
      <c r="D371">
        <v>20000</v>
      </c>
      <c r="E371">
        <v>2</v>
      </c>
      <c r="F371" s="2" t="s">
        <v>45</v>
      </c>
      <c r="G371" t="s">
        <v>22</v>
      </c>
      <c r="H371" t="s">
        <v>29</v>
      </c>
      <c r="I371" t="s">
        <v>20</v>
      </c>
      <c r="J371">
        <v>1</v>
      </c>
      <c r="K371" t="s">
        <v>44</v>
      </c>
      <c r="L371" t="s">
        <v>18</v>
      </c>
      <c r="M371" t="s">
        <v>19</v>
      </c>
      <c r="N371">
        <v>53</v>
      </c>
      <c r="O371" t="s">
        <v>17</v>
      </c>
    </row>
    <row r="372" spans="1:15" x14ac:dyDescent="0.25">
      <c r="A372">
        <v>371</v>
      </c>
      <c r="B372" t="s">
        <v>13</v>
      </c>
      <c r="C372" t="s">
        <v>14</v>
      </c>
      <c r="D372">
        <v>100000</v>
      </c>
      <c r="E372">
        <v>4</v>
      </c>
      <c r="F372" s="2" t="s">
        <v>45</v>
      </c>
      <c r="G372" t="s">
        <v>15</v>
      </c>
      <c r="H372" t="s">
        <v>24</v>
      </c>
      <c r="I372" t="s">
        <v>17</v>
      </c>
      <c r="J372">
        <v>1</v>
      </c>
      <c r="K372" t="s">
        <v>44</v>
      </c>
      <c r="L372" t="s">
        <v>34</v>
      </c>
      <c r="M372" t="s">
        <v>28</v>
      </c>
      <c r="N372">
        <v>46</v>
      </c>
      <c r="O372" t="s">
        <v>20</v>
      </c>
    </row>
    <row r="373" spans="1:15" x14ac:dyDescent="0.25">
      <c r="A373">
        <v>372</v>
      </c>
      <c r="B373" t="s">
        <v>26</v>
      </c>
      <c r="C373" t="s">
        <v>21</v>
      </c>
      <c r="D373">
        <v>80000</v>
      </c>
      <c r="E373">
        <v>5</v>
      </c>
      <c r="F373" s="2" t="s">
        <v>45</v>
      </c>
      <c r="G373" t="s">
        <v>35</v>
      </c>
      <c r="H373" t="s">
        <v>32</v>
      </c>
      <c r="I373" t="s">
        <v>17</v>
      </c>
      <c r="J373">
        <v>3</v>
      </c>
      <c r="K373" t="s">
        <v>44</v>
      </c>
      <c r="L373" t="s">
        <v>18</v>
      </c>
      <c r="M373" t="s">
        <v>28</v>
      </c>
      <c r="N373">
        <v>50</v>
      </c>
      <c r="O373" t="s">
        <v>20</v>
      </c>
    </row>
    <row r="374" spans="1:15" x14ac:dyDescent="0.25">
      <c r="A374">
        <v>373</v>
      </c>
      <c r="B374" t="s">
        <v>13</v>
      </c>
      <c r="C374" t="s">
        <v>21</v>
      </c>
      <c r="D374">
        <v>40000</v>
      </c>
      <c r="E374">
        <v>1</v>
      </c>
      <c r="F374" s="2" t="s">
        <v>45</v>
      </c>
      <c r="G374" t="s">
        <v>15</v>
      </c>
      <c r="H374" t="s">
        <v>16</v>
      </c>
      <c r="I374" t="s">
        <v>17</v>
      </c>
      <c r="J374">
        <v>1</v>
      </c>
      <c r="K374" t="s">
        <v>44</v>
      </c>
      <c r="L374" t="s">
        <v>18</v>
      </c>
      <c r="M374" t="s">
        <v>19</v>
      </c>
      <c r="N374">
        <v>43</v>
      </c>
      <c r="O374" t="s">
        <v>17</v>
      </c>
    </row>
    <row r="375" spans="1:15" x14ac:dyDescent="0.25">
      <c r="A375">
        <v>374</v>
      </c>
      <c r="B375" t="s">
        <v>26</v>
      </c>
      <c r="C375" t="s">
        <v>21</v>
      </c>
      <c r="D375">
        <v>20000</v>
      </c>
      <c r="E375">
        <v>0</v>
      </c>
      <c r="F375" s="2" t="s">
        <v>46</v>
      </c>
      <c r="G375" t="s">
        <v>31</v>
      </c>
      <c r="H375" t="s">
        <v>29</v>
      </c>
      <c r="I375" t="s">
        <v>20</v>
      </c>
      <c r="J375">
        <v>1</v>
      </c>
      <c r="K375" t="s">
        <v>44</v>
      </c>
      <c r="L375" t="s">
        <v>25</v>
      </c>
      <c r="M375" t="s">
        <v>19</v>
      </c>
      <c r="N375">
        <v>30</v>
      </c>
      <c r="O375" t="s">
        <v>20</v>
      </c>
    </row>
    <row r="376" spans="1:15" x14ac:dyDescent="0.25">
      <c r="A376">
        <v>375</v>
      </c>
      <c r="B376" t="s">
        <v>26</v>
      </c>
      <c r="C376" t="s">
        <v>14</v>
      </c>
      <c r="D376">
        <v>80000</v>
      </c>
      <c r="E376">
        <v>5</v>
      </c>
      <c r="F376" s="2" t="s">
        <v>45</v>
      </c>
      <c r="G376" t="s">
        <v>15</v>
      </c>
      <c r="H376" t="s">
        <v>24</v>
      </c>
      <c r="I376" t="s">
        <v>17</v>
      </c>
      <c r="J376">
        <v>4</v>
      </c>
      <c r="K376" t="s">
        <v>44</v>
      </c>
      <c r="L376" t="s">
        <v>30</v>
      </c>
      <c r="M376" t="s">
        <v>28</v>
      </c>
      <c r="N376">
        <v>38</v>
      </c>
      <c r="O376" t="s">
        <v>20</v>
      </c>
    </row>
    <row r="377" spans="1:15" x14ac:dyDescent="0.25">
      <c r="A377">
        <v>376</v>
      </c>
      <c r="B377" t="s">
        <v>13</v>
      </c>
      <c r="C377" t="s">
        <v>14</v>
      </c>
      <c r="D377">
        <v>40000</v>
      </c>
      <c r="E377">
        <v>1</v>
      </c>
      <c r="F377" s="2" t="s">
        <v>45</v>
      </c>
      <c r="G377" t="s">
        <v>15</v>
      </c>
      <c r="H377" t="s">
        <v>16</v>
      </c>
      <c r="I377" t="s">
        <v>17</v>
      </c>
      <c r="J377">
        <v>1</v>
      </c>
      <c r="K377" t="s">
        <v>44</v>
      </c>
      <c r="L377" t="s">
        <v>18</v>
      </c>
      <c r="M377" t="s">
        <v>19</v>
      </c>
      <c r="N377">
        <v>89</v>
      </c>
      <c r="O377" t="s">
        <v>20</v>
      </c>
    </row>
    <row r="378" spans="1:15" x14ac:dyDescent="0.25">
      <c r="A378">
        <v>377</v>
      </c>
      <c r="B378" t="s">
        <v>13</v>
      </c>
      <c r="C378" t="s">
        <v>21</v>
      </c>
      <c r="D378">
        <v>20000</v>
      </c>
      <c r="E378">
        <v>1</v>
      </c>
      <c r="F378" s="2" t="s">
        <v>45</v>
      </c>
      <c r="G378" t="s">
        <v>15</v>
      </c>
      <c r="H378" t="s">
        <v>23</v>
      </c>
      <c r="I378" t="s">
        <v>17</v>
      </c>
      <c r="J378">
        <v>0</v>
      </c>
      <c r="K378" t="s">
        <v>43</v>
      </c>
      <c r="L378" t="s">
        <v>18</v>
      </c>
      <c r="M378" t="s">
        <v>19</v>
      </c>
      <c r="N378">
        <v>64</v>
      </c>
      <c r="O378" t="s">
        <v>17</v>
      </c>
    </row>
    <row r="379" spans="1:15" x14ac:dyDescent="0.25">
      <c r="A379">
        <v>378</v>
      </c>
      <c r="B379" t="s">
        <v>13</v>
      </c>
      <c r="C379" t="s">
        <v>21</v>
      </c>
      <c r="D379">
        <v>130000</v>
      </c>
      <c r="E379">
        <v>3</v>
      </c>
      <c r="F379" s="2" t="s">
        <v>45</v>
      </c>
      <c r="G379" t="s">
        <v>22</v>
      </c>
      <c r="H379" t="s">
        <v>24</v>
      </c>
      <c r="I379" t="s">
        <v>20</v>
      </c>
      <c r="J379">
        <v>3</v>
      </c>
      <c r="K379" t="s">
        <v>44</v>
      </c>
      <c r="L379" t="s">
        <v>27</v>
      </c>
      <c r="M379" t="s">
        <v>19</v>
      </c>
      <c r="N379">
        <v>51</v>
      </c>
      <c r="O379" t="s">
        <v>17</v>
      </c>
    </row>
    <row r="380" spans="1:15" x14ac:dyDescent="0.25">
      <c r="A380">
        <v>379</v>
      </c>
      <c r="B380" t="s">
        <v>13</v>
      </c>
      <c r="C380" t="s">
        <v>21</v>
      </c>
      <c r="D380">
        <v>30000</v>
      </c>
      <c r="E380">
        <v>3</v>
      </c>
      <c r="F380" s="2" t="s">
        <v>45</v>
      </c>
      <c r="G380" t="s">
        <v>22</v>
      </c>
      <c r="H380" t="s">
        <v>23</v>
      </c>
      <c r="I380" t="s">
        <v>20</v>
      </c>
      <c r="J380">
        <v>2</v>
      </c>
      <c r="K380" t="s">
        <v>44</v>
      </c>
      <c r="L380" t="s">
        <v>27</v>
      </c>
      <c r="M380" t="s">
        <v>28</v>
      </c>
      <c r="N380">
        <v>56</v>
      </c>
      <c r="O380" t="s">
        <v>20</v>
      </c>
    </row>
    <row r="381" spans="1:15" x14ac:dyDescent="0.25">
      <c r="A381">
        <v>380</v>
      </c>
      <c r="B381" t="s">
        <v>13</v>
      </c>
      <c r="C381" t="s">
        <v>21</v>
      </c>
      <c r="D381">
        <v>60000</v>
      </c>
      <c r="E381">
        <v>3</v>
      </c>
      <c r="F381" s="2" t="s">
        <v>45</v>
      </c>
      <c r="G381" t="s">
        <v>15</v>
      </c>
      <c r="H381" t="s">
        <v>24</v>
      </c>
      <c r="I381" t="s">
        <v>17</v>
      </c>
      <c r="J381">
        <v>2</v>
      </c>
      <c r="K381" t="s">
        <v>44</v>
      </c>
      <c r="L381" t="s">
        <v>27</v>
      </c>
      <c r="M381" t="s">
        <v>28</v>
      </c>
      <c r="N381">
        <v>43</v>
      </c>
      <c r="O381" t="s">
        <v>20</v>
      </c>
    </row>
    <row r="382" spans="1:15" x14ac:dyDescent="0.25">
      <c r="A382">
        <v>381</v>
      </c>
      <c r="B382" t="s">
        <v>26</v>
      </c>
      <c r="C382" t="s">
        <v>21</v>
      </c>
      <c r="D382">
        <v>70000</v>
      </c>
      <c r="E382">
        <v>0</v>
      </c>
      <c r="F382" s="2" t="s">
        <v>46</v>
      </c>
      <c r="G382" t="s">
        <v>15</v>
      </c>
      <c r="H382" t="s">
        <v>24</v>
      </c>
      <c r="I382" t="s">
        <v>20</v>
      </c>
      <c r="J382">
        <v>3</v>
      </c>
      <c r="K382" t="s">
        <v>44</v>
      </c>
      <c r="L382" t="s">
        <v>34</v>
      </c>
      <c r="M382" t="s">
        <v>28</v>
      </c>
      <c r="N382">
        <v>30</v>
      </c>
      <c r="O382" t="s">
        <v>17</v>
      </c>
    </row>
    <row r="383" spans="1:15" x14ac:dyDescent="0.25">
      <c r="A383">
        <v>382</v>
      </c>
      <c r="B383" t="s">
        <v>13</v>
      </c>
      <c r="C383" t="s">
        <v>14</v>
      </c>
      <c r="D383">
        <v>30000</v>
      </c>
      <c r="E383">
        <v>2</v>
      </c>
      <c r="F383" s="2" t="s">
        <v>45</v>
      </c>
      <c r="G383" t="s">
        <v>22</v>
      </c>
      <c r="H383" t="s">
        <v>23</v>
      </c>
      <c r="I383" t="s">
        <v>17</v>
      </c>
      <c r="J383">
        <v>2</v>
      </c>
      <c r="K383" t="s">
        <v>44</v>
      </c>
      <c r="L383" t="s">
        <v>27</v>
      </c>
      <c r="M383" t="s">
        <v>28</v>
      </c>
      <c r="N383">
        <v>69</v>
      </c>
      <c r="O383" t="s">
        <v>20</v>
      </c>
    </row>
    <row r="384" spans="1:15" x14ac:dyDescent="0.25">
      <c r="A384">
        <v>383</v>
      </c>
      <c r="B384" t="s">
        <v>13</v>
      </c>
      <c r="C384" t="s">
        <v>21</v>
      </c>
      <c r="D384">
        <v>80000</v>
      </c>
      <c r="E384">
        <v>4</v>
      </c>
      <c r="F384" s="2" t="s">
        <v>45</v>
      </c>
      <c r="G384" t="s">
        <v>22</v>
      </c>
      <c r="H384" t="s">
        <v>24</v>
      </c>
      <c r="I384" t="s">
        <v>17</v>
      </c>
      <c r="J384">
        <v>2</v>
      </c>
      <c r="K384" t="s">
        <v>44</v>
      </c>
      <c r="L384" t="s">
        <v>34</v>
      </c>
      <c r="M384" t="s">
        <v>19</v>
      </c>
      <c r="N384">
        <v>53</v>
      </c>
      <c r="O384" t="s">
        <v>20</v>
      </c>
    </row>
    <row r="385" spans="1:15" x14ac:dyDescent="0.25">
      <c r="A385">
        <v>384</v>
      </c>
      <c r="B385" t="s">
        <v>13</v>
      </c>
      <c r="C385" t="s">
        <v>21</v>
      </c>
      <c r="D385">
        <v>40000</v>
      </c>
      <c r="E385">
        <v>0</v>
      </c>
      <c r="F385" s="2" t="s">
        <v>46</v>
      </c>
      <c r="G385" t="s">
        <v>35</v>
      </c>
      <c r="H385" t="s">
        <v>23</v>
      </c>
      <c r="I385" t="s">
        <v>17</v>
      </c>
      <c r="J385">
        <v>0</v>
      </c>
      <c r="K385" t="s">
        <v>43</v>
      </c>
      <c r="L385" t="s">
        <v>18</v>
      </c>
      <c r="M385" t="s">
        <v>19</v>
      </c>
      <c r="N385">
        <v>37</v>
      </c>
      <c r="O385" t="s">
        <v>17</v>
      </c>
    </row>
    <row r="386" spans="1:15" x14ac:dyDescent="0.25">
      <c r="A386">
        <v>385</v>
      </c>
      <c r="B386" t="s">
        <v>26</v>
      </c>
      <c r="C386" t="s">
        <v>14</v>
      </c>
      <c r="D386">
        <v>10000</v>
      </c>
      <c r="E386">
        <v>0</v>
      </c>
      <c r="F386" s="2" t="s">
        <v>46</v>
      </c>
      <c r="G386" t="s">
        <v>22</v>
      </c>
      <c r="H386" t="s">
        <v>29</v>
      </c>
      <c r="I386" t="s">
        <v>20</v>
      </c>
      <c r="J386">
        <v>1</v>
      </c>
      <c r="K386" t="s">
        <v>44</v>
      </c>
      <c r="L386" t="s">
        <v>18</v>
      </c>
      <c r="M386" t="s">
        <v>28</v>
      </c>
      <c r="N386">
        <v>28</v>
      </c>
      <c r="O386" t="s">
        <v>17</v>
      </c>
    </row>
    <row r="387" spans="1:15" x14ac:dyDescent="0.25">
      <c r="A387">
        <v>386</v>
      </c>
      <c r="B387" t="s">
        <v>26</v>
      </c>
      <c r="C387" t="s">
        <v>21</v>
      </c>
      <c r="D387">
        <v>30000</v>
      </c>
      <c r="E387">
        <v>3</v>
      </c>
      <c r="F387" s="2" t="s">
        <v>45</v>
      </c>
      <c r="G387" t="s">
        <v>22</v>
      </c>
      <c r="H387" t="s">
        <v>23</v>
      </c>
      <c r="I387" t="s">
        <v>17</v>
      </c>
      <c r="J387">
        <v>0</v>
      </c>
      <c r="K387" t="s">
        <v>43</v>
      </c>
      <c r="L387" t="s">
        <v>18</v>
      </c>
      <c r="M387" t="s">
        <v>19</v>
      </c>
      <c r="N387">
        <v>43</v>
      </c>
      <c r="O387" t="s">
        <v>20</v>
      </c>
    </row>
    <row r="388" spans="1:15" x14ac:dyDescent="0.25">
      <c r="A388">
        <v>387</v>
      </c>
      <c r="B388" t="s">
        <v>26</v>
      </c>
      <c r="C388" t="s">
        <v>14</v>
      </c>
      <c r="D388">
        <v>120000</v>
      </c>
      <c r="E388">
        <v>0</v>
      </c>
      <c r="F388" s="2" t="s">
        <v>46</v>
      </c>
      <c r="G388" t="s">
        <v>33</v>
      </c>
      <c r="H388" t="s">
        <v>24</v>
      </c>
      <c r="I388" t="s">
        <v>17</v>
      </c>
      <c r="J388">
        <v>4</v>
      </c>
      <c r="K388" t="s">
        <v>44</v>
      </c>
      <c r="L388" t="s">
        <v>34</v>
      </c>
      <c r="M388" t="s">
        <v>28</v>
      </c>
      <c r="N388">
        <v>34</v>
      </c>
      <c r="O388" t="s">
        <v>17</v>
      </c>
    </row>
    <row r="389" spans="1:15" x14ac:dyDescent="0.25">
      <c r="A389">
        <v>388</v>
      </c>
      <c r="B389" t="s">
        <v>26</v>
      </c>
      <c r="C389" t="s">
        <v>14</v>
      </c>
      <c r="D389">
        <v>20000</v>
      </c>
      <c r="E389">
        <v>0</v>
      </c>
      <c r="F389" s="2" t="s">
        <v>46</v>
      </c>
      <c r="G389" t="s">
        <v>33</v>
      </c>
      <c r="H389" t="s">
        <v>29</v>
      </c>
      <c r="I389" t="s">
        <v>20</v>
      </c>
      <c r="J389">
        <v>2</v>
      </c>
      <c r="K389" t="s">
        <v>44</v>
      </c>
      <c r="L389" t="s">
        <v>30</v>
      </c>
      <c r="M389" t="s">
        <v>19</v>
      </c>
      <c r="N389">
        <v>34</v>
      </c>
      <c r="O389" t="s">
        <v>17</v>
      </c>
    </row>
    <row r="390" spans="1:15" x14ac:dyDescent="0.25">
      <c r="A390">
        <v>389</v>
      </c>
      <c r="B390" t="s">
        <v>13</v>
      </c>
      <c r="C390" t="s">
        <v>14</v>
      </c>
      <c r="D390">
        <v>30000</v>
      </c>
      <c r="E390">
        <v>1</v>
      </c>
      <c r="F390" s="2" t="s">
        <v>45</v>
      </c>
      <c r="G390" t="s">
        <v>15</v>
      </c>
      <c r="H390" t="s">
        <v>23</v>
      </c>
      <c r="I390" t="s">
        <v>17</v>
      </c>
      <c r="J390">
        <v>0</v>
      </c>
      <c r="K390" t="s">
        <v>43</v>
      </c>
      <c r="L390" t="s">
        <v>18</v>
      </c>
      <c r="M390" t="s">
        <v>19</v>
      </c>
      <c r="N390">
        <v>64</v>
      </c>
      <c r="O390" t="s">
        <v>20</v>
      </c>
    </row>
    <row r="391" spans="1:15" x14ac:dyDescent="0.25">
      <c r="A391">
        <v>390</v>
      </c>
      <c r="B391" t="s">
        <v>13</v>
      </c>
      <c r="C391" t="s">
        <v>14</v>
      </c>
      <c r="D391">
        <v>80000</v>
      </c>
      <c r="E391">
        <v>0</v>
      </c>
      <c r="F391" s="2" t="s">
        <v>46</v>
      </c>
      <c r="G391" t="s">
        <v>15</v>
      </c>
      <c r="H391" t="s">
        <v>24</v>
      </c>
      <c r="I391" t="s">
        <v>17</v>
      </c>
      <c r="J391">
        <v>1</v>
      </c>
      <c r="K391" t="s">
        <v>44</v>
      </c>
      <c r="L391" t="s">
        <v>30</v>
      </c>
      <c r="M391" t="s">
        <v>28</v>
      </c>
      <c r="N391">
        <v>41</v>
      </c>
      <c r="O391" t="s">
        <v>17</v>
      </c>
    </row>
    <row r="392" spans="1:15" x14ac:dyDescent="0.25">
      <c r="A392">
        <v>391</v>
      </c>
      <c r="B392" t="s">
        <v>26</v>
      </c>
      <c r="C392" t="s">
        <v>21</v>
      </c>
      <c r="D392">
        <v>70000</v>
      </c>
      <c r="E392">
        <v>0</v>
      </c>
      <c r="F392" s="2" t="s">
        <v>46</v>
      </c>
      <c r="G392" t="s">
        <v>15</v>
      </c>
      <c r="H392" t="s">
        <v>24</v>
      </c>
      <c r="I392" t="s">
        <v>20</v>
      </c>
      <c r="J392">
        <v>1</v>
      </c>
      <c r="K392" t="s">
        <v>44</v>
      </c>
      <c r="L392" t="s">
        <v>27</v>
      </c>
      <c r="M392" t="s">
        <v>28</v>
      </c>
      <c r="N392">
        <v>38</v>
      </c>
      <c r="O392" t="s">
        <v>20</v>
      </c>
    </row>
    <row r="393" spans="1:15" x14ac:dyDescent="0.25">
      <c r="A393">
        <v>392</v>
      </c>
      <c r="B393" t="s">
        <v>26</v>
      </c>
      <c r="C393" t="s">
        <v>14</v>
      </c>
      <c r="D393">
        <v>70000</v>
      </c>
      <c r="E393">
        <v>0</v>
      </c>
      <c r="F393" s="2" t="s">
        <v>46</v>
      </c>
      <c r="G393" t="s">
        <v>15</v>
      </c>
      <c r="H393" t="s">
        <v>24</v>
      </c>
      <c r="I393" t="s">
        <v>20</v>
      </c>
      <c r="J393">
        <v>1</v>
      </c>
      <c r="K393" t="s">
        <v>44</v>
      </c>
      <c r="L393" t="s">
        <v>18</v>
      </c>
      <c r="M393" t="s">
        <v>28</v>
      </c>
      <c r="N393">
        <v>41</v>
      </c>
      <c r="O393" t="s">
        <v>17</v>
      </c>
    </row>
    <row r="394" spans="1:15" x14ac:dyDescent="0.25">
      <c r="A394">
        <v>393</v>
      </c>
      <c r="B394" t="s">
        <v>26</v>
      </c>
      <c r="C394" t="s">
        <v>21</v>
      </c>
      <c r="D394">
        <v>20000</v>
      </c>
      <c r="E394">
        <v>1</v>
      </c>
      <c r="F394" s="2" t="s">
        <v>45</v>
      </c>
      <c r="G394" t="s">
        <v>15</v>
      </c>
      <c r="H394" t="s">
        <v>23</v>
      </c>
      <c r="I394" t="s">
        <v>20</v>
      </c>
      <c r="J394">
        <v>0</v>
      </c>
      <c r="K394" t="s">
        <v>43</v>
      </c>
      <c r="L394" t="s">
        <v>18</v>
      </c>
      <c r="M394" t="s">
        <v>19</v>
      </c>
      <c r="N394">
        <v>51</v>
      </c>
      <c r="O394" t="s">
        <v>20</v>
      </c>
    </row>
    <row r="395" spans="1:15" x14ac:dyDescent="0.25">
      <c r="A395">
        <v>394</v>
      </c>
      <c r="B395" t="s">
        <v>13</v>
      </c>
      <c r="C395" t="s">
        <v>14</v>
      </c>
      <c r="D395">
        <v>10000</v>
      </c>
      <c r="E395">
        <v>0</v>
      </c>
      <c r="F395" s="2" t="s">
        <v>46</v>
      </c>
      <c r="G395" t="s">
        <v>33</v>
      </c>
      <c r="H395" t="s">
        <v>29</v>
      </c>
      <c r="I395" t="s">
        <v>17</v>
      </c>
      <c r="J395">
        <v>2</v>
      </c>
      <c r="K395" t="s">
        <v>44</v>
      </c>
      <c r="L395" t="s">
        <v>30</v>
      </c>
      <c r="M395" t="s">
        <v>19</v>
      </c>
      <c r="N395">
        <v>32</v>
      </c>
      <c r="O395" t="s">
        <v>20</v>
      </c>
    </row>
    <row r="396" spans="1:15" x14ac:dyDescent="0.25">
      <c r="A396">
        <v>395</v>
      </c>
      <c r="B396" t="s">
        <v>13</v>
      </c>
      <c r="C396" t="s">
        <v>14</v>
      </c>
      <c r="D396">
        <v>40000</v>
      </c>
      <c r="E396">
        <v>0</v>
      </c>
      <c r="F396" s="2" t="s">
        <v>46</v>
      </c>
      <c r="G396" t="s">
        <v>15</v>
      </c>
      <c r="H396" t="s">
        <v>23</v>
      </c>
      <c r="I396" t="s">
        <v>17</v>
      </c>
      <c r="J396">
        <v>0</v>
      </c>
      <c r="K396" t="s">
        <v>43</v>
      </c>
      <c r="L396" t="s">
        <v>18</v>
      </c>
      <c r="M396" t="s">
        <v>19</v>
      </c>
      <c r="N396">
        <v>38</v>
      </c>
      <c r="O396" t="s">
        <v>17</v>
      </c>
    </row>
    <row r="397" spans="1:15" x14ac:dyDescent="0.25">
      <c r="A397">
        <v>396</v>
      </c>
      <c r="B397" t="s">
        <v>13</v>
      </c>
      <c r="C397" t="s">
        <v>21</v>
      </c>
      <c r="D397">
        <v>30000</v>
      </c>
      <c r="E397">
        <v>1</v>
      </c>
      <c r="F397" s="2" t="s">
        <v>45</v>
      </c>
      <c r="G397" t="s">
        <v>15</v>
      </c>
      <c r="H397" t="s">
        <v>23</v>
      </c>
      <c r="I397" t="s">
        <v>17</v>
      </c>
      <c r="J397">
        <v>0</v>
      </c>
      <c r="K397" t="s">
        <v>43</v>
      </c>
      <c r="L397" t="s">
        <v>18</v>
      </c>
      <c r="M397" t="s">
        <v>19</v>
      </c>
      <c r="N397">
        <v>38</v>
      </c>
      <c r="O397" t="s">
        <v>17</v>
      </c>
    </row>
    <row r="398" spans="1:15" x14ac:dyDescent="0.25">
      <c r="A398">
        <v>397</v>
      </c>
      <c r="B398" t="s">
        <v>26</v>
      </c>
      <c r="C398" t="s">
        <v>21</v>
      </c>
      <c r="D398">
        <v>60000</v>
      </c>
      <c r="E398">
        <v>2</v>
      </c>
      <c r="F398" s="2" t="s">
        <v>45</v>
      </c>
      <c r="G398" t="s">
        <v>15</v>
      </c>
      <c r="H398" t="s">
        <v>24</v>
      </c>
      <c r="I398" t="s">
        <v>17</v>
      </c>
      <c r="J398">
        <v>1</v>
      </c>
      <c r="K398" t="s">
        <v>44</v>
      </c>
      <c r="L398" t="s">
        <v>25</v>
      </c>
      <c r="M398" t="s">
        <v>28</v>
      </c>
      <c r="N398">
        <v>38</v>
      </c>
      <c r="O398" t="s">
        <v>17</v>
      </c>
    </row>
    <row r="399" spans="1:15" x14ac:dyDescent="0.25">
      <c r="A399">
        <v>398</v>
      </c>
      <c r="B399" t="s">
        <v>13</v>
      </c>
      <c r="C399" t="s">
        <v>14</v>
      </c>
      <c r="D399">
        <v>10000</v>
      </c>
      <c r="E399">
        <v>2</v>
      </c>
      <c r="F399" s="2" t="s">
        <v>45</v>
      </c>
      <c r="G399" t="s">
        <v>33</v>
      </c>
      <c r="H399" t="s">
        <v>23</v>
      </c>
      <c r="I399" t="s">
        <v>17</v>
      </c>
      <c r="J399">
        <v>2</v>
      </c>
      <c r="K399" t="s">
        <v>44</v>
      </c>
      <c r="L399" t="s">
        <v>27</v>
      </c>
      <c r="M399" t="s">
        <v>28</v>
      </c>
      <c r="N399">
        <v>58</v>
      </c>
      <c r="O399" t="s">
        <v>20</v>
      </c>
    </row>
    <row r="400" spans="1:15" x14ac:dyDescent="0.25">
      <c r="A400">
        <v>399</v>
      </c>
      <c r="B400" t="s">
        <v>26</v>
      </c>
      <c r="C400" t="s">
        <v>21</v>
      </c>
      <c r="D400">
        <v>30000</v>
      </c>
      <c r="E400">
        <v>1</v>
      </c>
      <c r="F400" s="2" t="s">
        <v>45</v>
      </c>
      <c r="G400" t="s">
        <v>15</v>
      </c>
      <c r="H400" t="s">
        <v>23</v>
      </c>
      <c r="I400" t="s">
        <v>17</v>
      </c>
      <c r="J400">
        <v>1</v>
      </c>
      <c r="K400" t="s">
        <v>44</v>
      </c>
      <c r="L400" t="s">
        <v>30</v>
      </c>
      <c r="M400" t="s">
        <v>19</v>
      </c>
      <c r="N400">
        <v>39</v>
      </c>
      <c r="O400" t="s">
        <v>17</v>
      </c>
    </row>
    <row r="401" spans="1:15" x14ac:dyDescent="0.25">
      <c r="A401">
        <v>400</v>
      </c>
      <c r="B401" t="s">
        <v>26</v>
      </c>
      <c r="C401" t="s">
        <v>14</v>
      </c>
      <c r="D401">
        <v>40000</v>
      </c>
      <c r="E401">
        <v>2</v>
      </c>
      <c r="F401" s="2" t="s">
        <v>45</v>
      </c>
      <c r="G401" t="s">
        <v>15</v>
      </c>
      <c r="H401" t="s">
        <v>32</v>
      </c>
      <c r="I401" t="s">
        <v>20</v>
      </c>
      <c r="J401">
        <v>1</v>
      </c>
      <c r="K401" t="s">
        <v>44</v>
      </c>
      <c r="L401" t="s">
        <v>27</v>
      </c>
      <c r="M401" t="s">
        <v>28</v>
      </c>
      <c r="N401">
        <v>53</v>
      </c>
      <c r="O401" t="s">
        <v>17</v>
      </c>
    </row>
    <row r="402" spans="1:15" x14ac:dyDescent="0.25">
      <c r="A402">
        <v>401</v>
      </c>
      <c r="B402" t="s">
        <v>26</v>
      </c>
      <c r="C402" t="s">
        <v>14</v>
      </c>
      <c r="D402">
        <v>110000</v>
      </c>
      <c r="E402">
        <v>3</v>
      </c>
      <c r="F402" s="2" t="s">
        <v>45</v>
      </c>
      <c r="G402" t="s">
        <v>15</v>
      </c>
      <c r="H402" t="s">
        <v>32</v>
      </c>
      <c r="I402" t="s">
        <v>17</v>
      </c>
      <c r="J402">
        <v>4</v>
      </c>
      <c r="K402" t="s">
        <v>44</v>
      </c>
      <c r="L402" t="s">
        <v>34</v>
      </c>
      <c r="M402" t="s">
        <v>19</v>
      </c>
      <c r="N402">
        <v>53</v>
      </c>
      <c r="O402" t="s">
        <v>20</v>
      </c>
    </row>
    <row r="403" spans="1:15" x14ac:dyDescent="0.25">
      <c r="A403">
        <v>402</v>
      </c>
      <c r="B403" t="s">
        <v>13</v>
      </c>
      <c r="C403" t="s">
        <v>14</v>
      </c>
      <c r="D403">
        <v>40000</v>
      </c>
      <c r="E403">
        <v>1</v>
      </c>
      <c r="F403" s="2" t="s">
        <v>45</v>
      </c>
      <c r="G403" t="s">
        <v>15</v>
      </c>
      <c r="H403" t="s">
        <v>23</v>
      </c>
      <c r="I403" t="s">
        <v>17</v>
      </c>
      <c r="J403">
        <v>0</v>
      </c>
      <c r="K403" t="s">
        <v>43</v>
      </c>
      <c r="L403" t="s">
        <v>18</v>
      </c>
      <c r="M403" t="s">
        <v>19</v>
      </c>
      <c r="N403">
        <v>80</v>
      </c>
      <c r="O403" t="s">
        <v>20</v>
      </c>
    </row>
    <row r="404" spans="1:15" x14ac:dyDescent="0.25">
      <c r="A404">
        <v>403</v>
      </c>
      <c r="B404" t="s">
        <v>13</v>
      </c>
      <c r="C404" t="s">
        <v>21</v>
      </c>
      <c r="D404">
        <v>10000</v>
      </c>
      <c r="E404">
        <v>1</v>
      </c>
      <c r="F404" s="2" t="s">
        <v>45</v>
      </c>
      <c r="G404" t="s">
        <v>35</v>
      </c>
      <c r="H404" t="s">
        <v>29</v>
      </c>
      <c r="I404" t="s">
        <v>17</v>
      </c>
      <c r="J404">
        <v>0</v>
      </c>
      <c r="K404" t="s">
        <v>43</v>
      </c>
      <c r="L404" t="s">
        <v>18</v>
      </c>
      <c r="M404" t="s">
        <v>19</v>
      </c>
      <c r="N404">
        <v>44</v>
      </c>
      <c r="O404" t="s">
        <v>20</v>
      </c>
    </row>
    <row r="405" spans="1:15" x14ac:dyDescent="0.25">
      <c r="A405">
        <v>404</v>
      </c>
      <c r="B405" t="s">
        <v>13</v>
      </c>
      <c r="C405" t="s">
        <v>21</v>
      </c>
      <c r="D405">
        <v>20000</v>
      </c>
      <c r="E405">
        <v>1</v>
      </c>
      <c r="F405" s="2" t="s">
        <v>45</v>
      </c>
      <c r="G405" t="s">
        <v>35</v>
      </c>
      <c r="H405" t="s">
        <v>23</v>
      </c>
      <c r="I405" t="s">
        <v>17</v>
      </c>
      <c r="J405">
        <v>0</v>
      </c>
      <c r="K405" t="s">
        <v>43</v>
      </c>
      <c r="L405" t="s">
        <v>18</v>
      </c>
      <c r="M405" t="s">
        <v>19</v>
      </c>
      <c r="N405">
        <v>44</v>
      </c>
      <c r="O405" t="s">
        <v>20</v>
      </c>
    </row>
    <row r="406" spans="1:15" x14ac:dyDescent="0.25">
      <c r="A406">
        <v>405</v>
      </c>
      <c r="B406" t="s">
        <v>13</v>
      </c>
      <c r="C406" t="s">
        <v>21</v>
      </c>
      <c r="D406">
        <v>30000</v>
      </c>
      <c r="E406">
        <v>3</v>
      </c>
      <c r="F406" s="2" t="s">
        <v>45</v>
      </c>
      <c r="G406" t="s">
        <v>31</v>
      </c>
      <c r="H406" t="s">
        <v>16</v>
      </c>
      <c r="I406" t="s">
        <v>17</v>
      </c>
      <c r="J406">
        <v>2</v>
      </c>
      <c r="K406" t="s">
        <v>44</v>
      </c>
      <c r="L406" t="s">
        <v>27</v>
      </c>
      <c r="M406" t="s">
        <v>28</v>
      </c>
      <c r="N406">
        <v>54</v>
      </c>
      <c r="O406" t="s">
        <v>17</v>
      </c>
    </row>
    <row r="407" spans="1:15" x14ac:dyDescent="0.25">
      <c r="A407">
        <v>406</v>
      </c>
      <c r="B407" t="s">
        <v>13</v>
      </c>
      <c r="C407" t="s">
        <v>14</v>
      </c>
      <c r="D407">
        <v>30000</v>
      </c>
      <c r="E407">
        <v>0</v>
      </c>
      <c r="F407" s="2" t="s">
        <v>46</v>
      </c>
      <c r="G407" t="s">
        <v>15</v>
      </c>
      <c r="H407" t="s">
        <v>23</v>
      </c>
      <c r="I407" t="s">
        <v>17</v>
      </c>
      <c r="J407">
        <v>0</v>
      </c>
      <c r="K407" t="s">
        <v>43</v>
      </c>
      <c r="L407" t="s">
        <v>18</v>
      </c>
      <c r="M407" t="s">
        <v>19</v>
      </c>
      <c r="N407">
        <v>37</v>
      </c>
      <c r="O407" t="s">
        <v>17</v>
      </c>
    </row>
    <row r="408" spans="1:15" x14ac:dyDescent="0.25">
      <c r="A408">
        <v>407</v>
      </c>
      <c r="B408" t="s">
        <v>13</v>
      </c>
      <c r="C408" t="s">
        <v>14</v>
      </c>
      <c r="D408">
        <v>40000</v>
      </c>
      <c r="E408">
        <v>1</v>
      </c>
      <c r="F408" s="2" t="s">
        <v>45</v>
      </c>
      <c r="G408" t="s">
        <v>15</v>
      </c>
      <c r="H408" t="s">
        <v>16</v>
      </c>
      <c r="I408" t="s">
        <v>17</v>
      </c>
      <c r="J408">
        <v>0</v>
      </c>
      <c r="K408" t="s">
        <v>43</v>
      </c>
      <c r="L408" t="s">
        <v>18</v>
      </c>
      <c r="M408" t="s">
        <v>19</v>
      </c>
      <c r="N408">
        <v>41</v>
      </c>
      <c r="O408" t="s">
        <v>20</v>
      </c>
    </row>
    <row r="409" spans="1:15" x14ac:dyDescent="0.25">
      <c r="A409">
        <v>408</v>
      </c>
      <c r="B409" t="s">
        <v>26</v>
      </c>
      <c r="C409" t="s">
        <v>14</v>
      </c>
      <c r="D409">
        <v>90000</v>
      </c>
      <c r="E409">
        <v>2</v>
      </c>
      <c r="F409" s="2" t="s">
        <v>45</v>
      </c>
      <c r="G409" t="s">
        <v>15</v>
      </c>
      <c r="H409" t="s">
        <v>24</v>
      </c>
      <c r="I409" t="s">
        <v>20</v>
      </c>
      <c r="J409">
        <v>0</v>
      </c>
      <c r="K409" t="s">
        <v>43</v>
      </c>
      <c r="L409" t="s">
        <v>18</v>
      </c>
      <c r="M409" t="s">
        <v>28</v>
      </c>
      <c r="N409">
        <v>36</v>
      </c>
      <c r="O409" t="s">
        <v>17</v>
      </c>
    </row>
    <row r="410" spans="1:15" x14ac:dyDescent="0.25">
      <c r="A410">
        <v>409</v>
      </c>
      <c r="B410" t="s">
        <v>26</v>
      </c>
      <c r="C410" t="s">
        <v>14</v>
      </c>
      <c r="D410">
        <v>40000</v>
      </c>
      <c r="E410">
        <v>2</v>
      </c>
      <c r="F410" s="2" t="s">
        <v>45</v>
      </c>
      <c r="G410" t="s">
        <v>22</v>
      </c>
      <c r="H410" t="s">
        <v>23</v>
      </c>
      <c r="I410" t="s">
        <v>17</v>
      </c>
      <c r="J410">
        <v>0</v>
      </c>
      <c r="K410" t="s">
        <v>43</v>
      </c>
      <c r="L410" t="s">
        <v>18</v>
      </c>
      <c r="M410" t="s">
        <v>19</v>
      </c>
      <c r="N410">
        <v>33</v>
      </c>
      <c r="O410" t="s">
        <v>20</v>
      </c>
    </row>
    <row r="411" spans="1:15" x14ac:dyDescent="0.25">
      <c r="A411">
        <v>410</v>
      </c>
      <c r="B411" t="s">
        <v>13</v>
      </c>
      <c r="C411" t="s">
        <v>14</v>
      </c>
      <c r="D411">
        <v>130000</v>
      </c>
      <c r="E411">
        <v>3</v>
      </c>
      <c r="F411" s="2" t="s">
        <v>45</v>
      </c>
      <c r="G411" t="s">
        <v>22</v>
      </c>
      <c r="H411" t="s">
        <v>24</v>
      </c>
      <c r="I411" t="s">
        <v>17</v>
      </c>
      <c r="J411">
        <v>4</v>
      </c>
      <c r="K411" t="s">
        <v>44</v>
      </c>
      <c r="L411" t="s">
        <v>18</v>
      </c>
      <c r="M411" t="s">
        <v>19</v>
      </c>
      <c r="N411">
        <v>52</v>
      </c>
      <c r="O411" t="s">
        <v>20</v>
      </c>
    </row>
    <row r="412" spans="1:15" x14ac:dyDescent="0.25">
      <c r="A412">
        <v>411</v>
      </c>
      <c r="B412" t="s">
        <v>13</v>
      </c>
      <c r="C412" t="s">
        <v>14</v>
      </c>
      <c r="D412">
        <v>20000</v>
      </c>
      <c r="E412">
        <v>2</v>
      </c>
      <c r="F412" s="2" t="s">
        <v>45</v>
      </c>
      <c r="G412" t="s">
        <v>22</v>
      </c>
      <c r="H412" t="s">
        <v>29</v>
      </c>
      <c r="I412" t="s">
        <v>17</v>
      </c>
      <c r="J412">
        <v>1</v>
      </c>
      <c r="K412" t="s">
        <v>44</v>
      </c>
      <c r="L412" t="s">
        <v>18</v>
      </c>
      <c r="M412" t="s">
        <v>19</v>
      </c>
      <c r="N412">
        <v>46</v>
      </c>
      <c r="O412" t="s">
        <v>17</v>
      </c>
    </row>
    <row r="413" spans="1:15" x14ac:dyDescent="0.25">
      <c r="A413">
        <v>412</v>
      </c>
      <c r="B413" t="s">
        <v>13</v>
      </c>
      <c r="C413" t="s">
        <v>21</v>
      </c>
      <c r="D413">
        <v>70000</v>
      </c>
      <c r="E413">
        <v>5</v>
      </c>
      <c r="F413" s="2" t="s">
        <v>45</v>
      </c>
      <c r="G413" t="s">
        <v>22</v>
      </c>
      <c r="H413" t="s">
        <v>16</v>
      </c>
      <c r="I413" t="s">
        <v>17</v>
      </c>
      <c r="J413">
        <v>2</v>
      </c>
      <c r="K413" t="s">
        <v>44</v>
      </c>
      <c r="L413" t="s">
        <v>27</v>
      </c>
      <c r="M413" t="s">
        <v>28</v>
      </c>
      <c r="N413">
        <v>43</v>
      </c>
      <c r="O413" t="s">
        <v>20</v>
      </c>
    </row>
    <row r="414" spans="1:15" x14ac:dyDescent="0.25">
      <c r="A414">
        <v>413</v>
      </c>
      <c r="B414" t="s">
        <v>26</v>
      </c>
      <c r="C414" t="s">
        <v>21</v>
      </c>
      <c r="D414">
        <v>40000</v>
      </c>
      <c r="E414">
        <v>2</v>
      </c>
      <c r="F414" s="2" t="s">
        <v>45</v>
      </c>
      <c r="G414" t="s">
        <v>22</v>
      </c>
      <c r="H414" t="s">
        <v>23</v>
      </c>
      <c r="I414" t="s">
        <v>17</v>
      </c>
      <c r="J414">
        <v>0</v>
      </c>
      <c r="K414" t="s">
        <v>43</v>
      </c>
      <c r="L414" t="s">
        <v>18</v>
      </c>
      <c r="M414" t="s">
        <v>19</v>
      </c>
      <c r="N414">
        <v>34</v>
      </c>
      <c r="O414" t="s">
        <v>20</v>
      </c>
    </row>
    <row r="415" spans="1:15" x14ac:dyDescent="0.25">
      <c r="A415">
        <v>414</v>
      </c>
      <c r="B415" t="s">
        <v>26</v>
      </c>
      <c r="C415" t="s">
        <v>14</v>
      </c>
      <c r="D415">
        <v>30000</v>
      </c>
      <c r="E415">
        <v>2</v>
      </c>
      <c r="F415" s="2" t="s">
        <v>45</v>
      </c>
      <c r="G415" t="s">
        <v>22</v>
      </c>
      <c r="H415" t="s">
        <v>23</v>
      </c>
      <c r="I415" t="s">
        <v>20</v>
      </c>
      <c r="J415">
        <v>2</v>
      </c>
      <c r="K415" t="s">
        <v>44</v>
      </c>
      <c r="L415" t="s">
        <v>27</v>
      </c>
      <c r="M415" t="s">
        <v>28</v>
      </c>
      <c r="N415">
        <v>67</v>
      </c>
      <c r="O415" t="s">
        <v>20</v>
      </c>
    </row>
    <row r="416" spans="1:15" x14ac:dyDescent="0.25">
      <c r="A416">
        <v>415</v>
      </c>
      <c r="B416" t="s">
        <v>13</v>
      </c>
      <c r="C416" t="s">
        <v>14</v>
      </c>
      <c r="D416">
        <v>40000</v>
      </c>
      <c r="E416">
        <v>0</v>
      </c>
      <c r="F416" s="2" t="s">
        <v>46</v>
      </c>
      <c r="G416" t="s">
        <v>35</v>
      </c>
      <c r="H416" t="s">
        <v>23</v>
      </c>
      <c r="I416" t="s">
        <v>17</v>
      </c>
      <c r="J416">
        <v>0</v>
      </c>
      <c r="K416" t="s">
        <v>43</v>
      </c>
      <c r="L416" t="s">
        <v>18</v>
      </c>
      <c r="M416" t="s">
        <v>19</v>
      </c>
      <c r="N416">
        <v>35</v>
      </c>
      <c r="O416" t="s">
        <v>17</v>
      </c>
    </row>
    <row r="417" spans="1:15" x14ac:dyDescent="0.25">
      <c r="A417">
        <v>416</v>
      </c>
      <c r="B417" t="s">
        <v>13</v>
      </c>
      <c r="C417" t="s">
        <v>14</v>
      </c>
      <c r="D417">
        <v>80000</v>
      </c>
      <c r="E417">
        <v>5</v>
      </c>
      <c r="F417" s="2" t="s">
        <v>45</v>
      </c>
      <c r="G417" t="s">
        <v>35</v>
      </c>
      <c r="H417" t="s">
        <v>32</v>
      </c>
      <c r="I417" t="s">
        <v>17</v>
      </c>
      <c r="J417">
        <v>3</v>
      </c>
      <c r="K417" t="s">
        <v>44</v>
      </c>
      <c r="L417" t="s">
        <v>18</v>
      </c>
      <c r="M417" t="s">
        <v>28</v>
      </c>
      <c r="N417">
        <v>40</v>
      </c>
      <c r="O417" t="s">
        <v>20</v>
      </c>
    </row>
    <row r="418" spans="1:15" x14ac:dyDescent="0.25">
      <c r="A418">
        <v>417</v>
      </c>
      <c r="B418" t="s">
        <v>26</v>
      </c>
      <c r="C418" t="s">
        <v>21</v>
      </c>
      <c r="D418">
        <v>60000</v>
      </c>
      <c r="E418">
        <v>2</v>
      </c>
      <c r="F418" s="2" t="s">
        <v>45</v>
      </c>
      <c r="G418" t="s">
        <v>15</v>
      </c>
      <c r="H418" t="s">
        <v>24</v>
      </c>
      <c r="I418" t="s">
        <v>20</v>
      </c>
      <c r="J418">
        <v>1</v>
      </c>
      <c r="K418" t="s">
        <v>44</v>
      </c>
      <c r="L418" t="s">
        <v>18</v>
      </c>
      <c r="M418" t="s">
        <v>28</v>
      </c>
      <c r="N418">
        <v>37</v>
      </c>
      <c r="O418" t="s">
        <v>17</v>
      </c>
    </row>
    <row r="419" spans="1:15" x14ac:dyDescent="0.25">
      <c r="A419">
        <v>418</v>
      </c>
      <c r="B419" t="s">
        <v>26</v>
      </c>
      <c r="C419" t="s">
        <v>14</v>
      </c>
      <c r="D419">
        <v>30000</v>
      </c>
      <c r="E419">
        <v>2</v>
      </c>
      <c r="F419" s="2" t="s">
        <v>45</v>
      </c>
      <c r="G419" t="s">
        <v>22</v>
      </c>
      <c r="H419" t="s">
        <v>23</v>
      </c>
      <c r="I419" t="s">
        <v>20</v>
      </c>
      <c r="J419">
        <v>2</v>
      </c>
      <c r="K419" t="s">
        <v>44</v>
      </c>
      <c r="L419" t="s">
        <v>27</v>
      </c>
      <c r="M419" t="s">
        <v>28</v>
      </c>
      <c r="N419">
        <v>67</v>
      </c>
      <c r="O419" t="s">
        <v>20</v>
      </c>
    </row>
    <row r="420" spans="1:15" x14ac:dyDescent="0.25">
      <c r="A420">
        <v>419</v>
      </c>
      <c r="B420" t="s">
        <v>13</v>
      </c>
      <c r="C420" t="s">
        <v>21</v>
      </c>
      <c r="D420">
        <v>30000</v>
      </c>
      <c r="E420">
        <v>1</v>
      </c>
      <c r="F420" s="2" t="s">
        <v>45</v>
      </c>
      <c r="G420" t="s">
        <v>15</v>
      </c>
      <c r="H420" t="s">
        <v>16</v>
      </c>
      <c r="I420" t="s">
        <v>17</v>
      </c>
      <c r="J420">
        <v>2</v>
      </c>
      <c r="K420" t="s">
        <v>44</v>
      </c>
      <c r="L420" t="s">
        <v>18</v>
      </c>
      <c r="M420" t="s">
        <v>19</v>
      </c>
      <c r="N420">
        <v>41</v>
      </c>
      <c r="O420" t="s">
        <v>17</v>
      </c>
    </row>
    <row r="421" spans="1:15" x14ac:dyDescent="0.25">
      <c r="A421">
        <v>420</v>
      </c>
      <c r="B421" t="s">
        <v>26</v>
      </c>
      <c r="C421" t="s">
        <v>21</v>
      </c>
      <c r="D421">
        <v>10000</v>
      </c>
      <c r="E421">
        <v>2</v>
      </c>
      <c r="F421" s="2" t="s">
        <v>45</v>
      </c>
      <c r="G421" t="s">
        <v>22</v>
      </c>
      <c r="H421" t="s">
        <v>29</v>
      </c>
      <c r="I421" t="s">
        <v>17</v>
      </c>
      <c r="J421">
        <v>1</v>
      </c>
      <c r="K421" t="s">
        <v>44</v>
      </c>
      <c r="L421" t="s">
        <v>18</v>
      </c>
      <c r="M421" t="s">
        <v>19</v>
      </c>
      <c r="N421">
        <v>51</v>
      </c>
      <c r="O421" t="s">
        <v>17</v>
      </c>
    </row>
    <row r="422" spans="1:15" x14ac:dyDescent="0.25">
      <c r="A422">
        <v>421</v>
      </c>
      <c r="B422" t="s">
        <v>13</v>
      </c>
      <c r="C422" t="s">
        <v>14</v>
      </c>
      <c r="D422">
        <v>100000</v>
      </c>
      <c r="E422">
        <v>2</v>
      </c>
      <c r="F422" s="2" t="s">
        <v>45</v>
      </c>
      <c r="G422" t="s">
        <v>15</v>
      </c>
      <c r="H422" t="s">
        <v>32</v>
      </c>
      <c r="I422" t="s">
        <v>17</v>
      </c>
      <c r="J422">
        <v>4</v>
      </c>
      <c r="K422" t="s">
        <v>44</v>
      </c>
      <c r="L422" t="s">
        <v>34</v>
      </c>
      <c r="M422" t="s">
        <v>19</v>
      </c>
      <c r="N422">
        <v>59</v>
      </c>
      <c r="O422" t="s">
        <v>20</v>
      </c>
    </row>
    <row r="423" spans="1:15" x14ac:dyDescent="0.25">
      <c r="A423">
        <v>422</v>
      </c>
      <c r="B423" t="s">
        <v>13</v>
      </c>
      <c r="C423" t="s">
        <v>21</v>
      </c>
      <c r="D423">
        <v>10000</v>
      </c>
      <c r="E423">
        <v>2</v>
      </c>
      <c r="F423" s="2" t="s">
        <v>45</v>
      </c>
      <c r="G423" t="s">
        <v>22</v>
      </c>
      <c r="H423" t="s">
        <v>29</v>
      </c>
      <c r="I423" t="s">
        <v>17</v>
      </c>
      <c r="J423">
        <v>0</v>
      </c>
      <c r="K423" t="s">
        <v>43</v>
      </c>
      <c r="L423" t="s">
        <v>30</v>
      </c>
      <c r="M423" t="s">
        <v>19</v>
      </c>
      <c r="N423">
        <v>51</v>
      </c>
      <c r="O423" t="s">
        <v>20</v>
      </c>
    </row>
    <row r="424" spans="1:15" x14ac:dyDescent="0.25">
      <c r="A424">
        <v>423</v>
      </c>
      <c r="B424" t="s">
        <v>26</v>
      </c>
      <c r="C424" t="s">
        <v>21</v>
      </c>
      <c r="D424">
        <v>110000</v>
      </c>
      <c r="E424">
        <v>0</v>
      </c>
      <c r="F424" s="2" t="s">
        <v>46</v>
      </c>
      <c r="G424" t="s">
        <v>22</v>
      </c>
      <c r="H424" t="s">
        <v>32</v>
      </c>
      <c r="I424" t="s">
        <v>20</v>
      </c>
      <c r="J424">
        <v>3</v>
      </c>
      <c r="K424" t="s">
        <v>44</v>
      </c>
      <c r="L424" t="s">
        <v>34</v>
      </c>
      <c r="M424" t="s">
        <v>28</v>
      </c>
      <c r="N424">
        <v>32</v>
      </c>
      <c r="O424" t="s">
        <v>17</v>
      </c>
    </row>
    <row r="425" spans="1:15" x14ac:dyDescent="0.25">
      <c r="A425">
        <v>424</v>
      </c>
      <c r="B425" t="s">
        <v>26</v>
      </c>
      <c r="C425" t="s">
        <v>21</v>
      </c>
      <c r="D425">
        <v>30000</v>
      </c>
      <c r="E425">
        <v>0</v>
      </c>
      <c r="F425" s="2" t="s">
        <v>46</v>
      </c>
      <c r="G425" t="s">
        <v>31</v>
      </c>
      <c r="H425" t="s">
        <v>29</v>
      </c>
      <c r="I425" t="s">
        <v>17</v>
      </c>
      <c r="J425">
        <v>1</v>
      </c>
      <c r="K425" t="s">
        <v>44</v>
      </c>
      <c r="L425" t="s">
        <v>25</v>
      </c>
      <c r="M425" t="s">
        <v>19</v>
      </c>
      <c r="N425">
        <v>34</v>
      </c>
      <c r="O425" t="s">
        <v>17</v>
      </c>
    </row>
    <row r="426" spans="1:15" x14ac:dyDescent="0.25">
      <c r="A426">
        <v>425</v>
      </c>
      <c r="B426" t="s">
        <v>26</v>
      </c>
      <c r="C426" t="s">
        <v>14</v>
      </c>
      <c r="D426">
        <v>10000</v>
      </c>
      <c r="E426">
        <v>3</v>
      </c>
      <c r="F426" s="2" t="s">
        <v>45</v>
      </c>
      <c r="G426" t="s">
        <v>33</v>
      </c>
      <c r="H426" t="s">
        <v>29</v>
      </c>
      <c r="I426" t="s">
        <v>17</v>
      </c>
      <c r="J426">
        <v>2</v>
      </c>
      <c r="K426" t="s">
        <v>44</v>
      </c>
      <c r="L426" t="s">
        <v>18</v>
      </c>
      <c r="M426" t="s">
        <v>19</v>
      </c>
      <c r="N426">
        <v>43</v>
      </c>
      <c r="O426" t="s">
        <v>20</v>
      </c>
    </row>
    <row r="427" spans="1:15" x14ac:dyDescent="0.25">
      <c r="A427">
        <v>426</v>
      </c>
      <c r="B427" t="s">
        <v>13</v>
      </c>
      <c r="C427" t="s">
        <v>21</v>
      </c>
      <c r="D427">
        <v>40000</v>
      </c>
      <c r="E427">
        <v>2</v>
      </c>
      <c r="F427" s="2" t="s">
        <v>45</v>
      </c>
      <c r="G427" t="s">
        <v>15</v>
      </c>
      <c r="H427" t="s">
        <v>32</v>
      </c>
      <c r="I427" t="s">
        <v>17</v>
      </c>
      <c r="J427">
        <v>2</v>
      </c>
      <c r="K427" t="s">
        <v>44</v>
      </c>
      <c r="L427" t="s">
        <v>18</v>
      </c>
      <c r="M427" t="s">
        <v>28</v>
      </c>
      <c r="N427">
        <v>67</v>
      </c>
      <c r="O427" t="s">
        <v>20</v>
      </c>
    </row>
    <row r="428" spans="1:15" x14ac:dyDescent="0.25">
      <c r="A428">
        <v>427</v>
      </c>
      <c r="B428" t="s">
        <v>26</v>
      </c>
      <c r="C428" t="s">
        <v>21</v>
      </c>
      <c r="D428">
        <v>30000</v>
      </c>
      <c r="E428">
        <v>0</v>
      </c>
      <c r="F428" s="2" t="s">
        <v>46</v>
      </c>
      <c r="G428" t="s">
        <v>22</v>
      </c>
      <c r="H428" t="s">
        <v>23</v>
      </c>
      <c r="I428" t="s">
        <v>20</v>
      </c>
      <c r="J428">
        <v>1</v>
      </c>
      <c r="K428" t="s">
        <v>44</v>
      </c>
      <c r="L428" t="s">
        <v>25</v>
      </c>
      <c r="M428" t="s">
        <v>19</v>
      </c>
      <c r="N428">
        <v>28</v>
      </c>
      <c r="O428" t="s">
        <v>20</v>
      </c>
    </row>
    <row r="429" spans="1:15" x14ac:dyDescent="0.25">
      <c r="A429">
        <v>428</v>
      </c>
      <c r="B429" t="s">
        <v>26</v>
      </c>
      <c r="C429" t="s">
        <v>14</v>
      </c>
      <c r="D429">
        <v>90000</v>
      </c>
      <c r="E429">
        <v>1</v>
      </c>
      <c r="F429" s="2" t="s">
        <v>45</v>
      </c>
      <c r="G429" t="s">
        <v>35</v>
      </c>
      <c r="H429" t="s">
        <v>32</v>
      </c>
      <c r="I429" t="s">
        <v>17</v>
      </c>
      <c r="J429">
        <v>0</v>
      </c>
      <c r="K429" t="s">
        <v>43</v>
      </c>
      <c r="L429" t="s">
        <v>18</v>
      </c>
      <c r="M429" t="s">
        <v>28</v>
      </c>
      <c r="N429">
        <v>36</v>
      </c>
      <c r="O429" t="s">
        <v>17</v>
      </c>
    </row>
    <row r="430" spans="1:15" x14ac:dyDescent="0.25">
      <c r="A430">
        <v>429</v>
      </c>
      <c r="B430" t="s">
        <v>13</v>
      </c>
      <c r="C430" t="s">
        <v>21</v>
      </c>
      <c r="D430">
        <v>110000</v>
      </c>
      <c r="E430">
        <v>4</v>
      </c>
      <c r="F430" s="2" t="s">
        <v>45</v>
      </c>
      <c r="G430" t="s">
        <v>15</v>
      </c>
      <c r="H430" t="s">
        <v>32</v>
      </c>
      <c r="I430" t="s">
        <v>17</v>
      </c>
      <c r="J430">
        <v>3</v>
      </c>
      <c r="K430" t="s">
        <v>44</v>
      </c>
      <c r="L430" t="s">
        <v>25</v>
      </c>
      <c r="M430" t="s">
        <v>28</v>
      </c>
      <c r="N430">
        <v>48</v>
      </c>
      <c r="O430" t="s">
        <v>20</v>
      </c>
    </row>
    <row r="431" spans="1:15" x14ac:dyDescent="0.25">
      <c r="A431">
        <v>430</v>
      </c>
      <c r="B431" t="s">
        <v>26</v>
      </c>
      <c r="C431" t="s">
        <v>14</v>
      </c>
      <c r="D431">
        <v>30000</v>
      </c>
      <c r="E431">
        <v>0</v>
      </c>
      <c r="F431" s="2" t="s">
        <v>46</v>
      </c>
      <c r="G431" t="s">
        <v>22</v>
      </c>
      <c r="H431" t="s">
        <v>23</v>
      </c>
      <c r="I431" t="s">
        <v>17</v>
      </c>
      <c r="J431">
        <v>1</v>
      </c>
      <c r="K431" t="s">
        <v>44</v>
      </c>
      <c r="L431" t="s">
        <v>25</v>
      </c>
      <c r="M431" t="s">
        <v>19</v>
      </c>
      <c r="N431">
        <v>31</v>
      </c>
      <c r="O431" t="s">
        <v>20</v>
      </c>
    </row>
    <row r="432" spans="1:15" x14ac:dyDescent="0.25">
      <c r="A432">
        <v>431</v>
      </c>
      <c r="B432" t="s">
        <v>26</v>
      </c>
      <c r="C432" t="s">
        <v>14</v>
      </c>
      <c r="D432">
        <v>30000</v>
      </c>
      <c r="E432">
        <v>3</v>
      </c>
      <c r="F432" s="2" t="s">
        <v>45</v>
      </c>
      <c r="G432" t="s">
        <v>31</v>
      </c>
      <c r="H432" t="s">
        <v>16</v>
      </c>
      <c r="I432" t="s">
        <v>17</v>
      </c>
      <c r="J432">
        <v>2</v>
      </c>
      <c r="K432" t="s">
        <v>44</v>
      </c>
      <c r="L432" t="s">
        <v>27</v>
      </c>
      <c r="M432" t="s">
        <v>28</v>
      </c>
      <c r="N432">
        <v>55</v>
      </c>
      <c r="O432" t="s">
        <v>20</v>
      </c>
    </row>
    <row r="433" spans="1:15" x14ac:dyDescent="0.25">
      <c r="A433">
        <v>432</v>
      </c>
      <c r="B433" t="s">
        <v>26</v>
      </c>
      <c r="C433" t="s">
        <v>21</v>
      </c>
      <c r="D433">
        <v>20000</v>
      </c>
      <c r="E433">
        <v>0</v>
      </c>
      <c r="F433" s="2" t="s">
        <v>46</v>
      </c>
      <c r="G433" t="s">
        <v>22</v>
      </c>
      <c r="H433" t="s">
        <v>29</v>
      </c>
      <c r="I433" t="s">
        <v>17</v>
      </c>
      <c r="J433">
        <v>0</v>
      </c>
      <c r="K433" t="s">
        <v>43</v>
      </c>
      <c r="L433" t="s">
        <v>18</v>
      </c>
      <c r="M433" t="s">
        <v>28</v>
      </c>
      <c r="N433">
        <v>28</v>
      </c>
      <c r="O433" t="s">
        <v>17</v>
      </c>
    </row>
    <row r="434" spans="1:15" x14ac:dyDescent="0.25">
      <c r="A434">
        <v>433</v>
      </c>
      <c r="B434" t="s">
        <v>13</v>
      </c>
      <c r="C434" t="s">
        <v>14</v>
      </c>
      <c r="D434">
        <v>110000</v>
      </c>
      <c r="E434">
        <v>0</v>
      </c>
      <c r="F434" s="2" t="s">
        <v>46</v>
      </c>
      <c r="G434" t="s">
        <v>31</v>
      </c>
      <c r="H434" t="s">
        <v>32</v>
      </c>
      <c r="I434" t="s">
        <v>17</v>
      </c>
      <c r="J434">
        <v>3</v>
      </c>
      <c r="K434" t="s">
        <v>44</v>
      </c>
      <c r="L434" t="s">
        <v>34</v>
      </c>
      <c r="M434" t="s">
        <v>28</v>
      </c>
      <c r="N434">
        <v>34</v>
      </c>
      <c r="O434" t="s">
        <v>17</v>
      </c>
    </row>
    <row r="435" spans="1:15" x14ac:dyDescent="0.25">
      <c r="A435">
        <v>434</v>
      </c>
      <c r="B435" t="s">
        <v>26</v>
      </c>
      <c r="C435" t="s">
        <v>14</v>
      </c>
      <c r="D435">
        <v>30000</v>
      </c>
      <c r="E435">
        <v>3</v>
      </c>
      <c r="F435" s="2" t="s">
        <v>45</v>
      </c>
      <c r="G435" t="s">
        <v>22</v>
      </c>
      <c r="H435" t="s">
        <v>23</v>
      </c>
      <c r="I435" t="s">
        <v>20</v>
      </c>
      <c r="J435">
        <v>1</v>
      </c>
      <c r="K435" t="s">
        <v>44</v>
      </c>
      <c r="L435" t="s">
        <v>18</v>
      </c>
      <c r="M435" t="s">
        <v>19</v>
      </c>
      <c r="N435">
        <v>26</v>
      </c>
      <c r="O435" t="s">
        <v>20</v>
      </c>
    </row>
    <row r="436" spans="1:15" x14ac:dyDescent="0.25">
      <c r="A436">
        <v>435</v>
      </c>
      <c r="B436" t="s">
        <v>13</v>
      </c>
      <c r="C436" t="s">
        <v>14</v>
      </c>
      <c r="D436">
        <v>30000</v>
      </c>
      <c r="E436">
        <v>3</v>
      </c>
      <c r="F436" s="2" t="s">
        <v>45</v>
      </c>
      <c r="G436" t="s">
        <v>31</v>
      </c>
      <c r="H436" t="s">
        <v>16</v>
      </c>
      <c r="I436" t="s">
        <v>17</v>
      </c>
      <c r="J436">
        <v>2</v>
      </c>
      <c r="K436" t="s">
        <v>44</v>
      </c>
      <c r="L436" t="s">
        <v>27</v>
      </c>
      <c r="M436" t="s">
        <v>28</v>
      </c>
      <c r="N436">
        <v>53</v>
      </c>
      <c r="O436" t="s">
        <v>17</v>
      </c>
    </row>
    <row r="437" spans="1:15" x14ac:dyDescent="0.25">
      <c r="A437">
        <v>436</v>
      </c>
      <c r="B437" t="s">
        <v>26</v>
      </c>
      <c r="C437" t="s">
        <v>14</v>
      </c>
      <c r="D437">
        <v>10000</v>
      </c>
      <c r="E437">
        <v>2</v>
      </c>
      <c r="F437" s="2" t="s">
        <v>45</v>
      </c>
      <c r="G437" t="s">
        <v>15</v>
      </c>
      <c r="H437" t="s">
        <v>23</v>
      </c>
      <c r="I437" t="s">
        <v>20</v>
      </c>
      <c r="J437">
        <v>1</v>
      </c>
      <c r="K437" t="s">
        <v>44</v>
      </c>
      <c r="L437" t="s">
        <v>25</v>
      </c>
      <c r="M437" t="s">
        <v>19</v>
      </c>
      <c r="N437">
        <v>68</v>
      </c>
      <c r="O437" t="s">
        <v>20</v>
      </c>
    </row>
    <row r="438" spans="1:15" x14ac:dyDescent="0.25">
      <c r="A438">
        <v>437</v>
      </c>
      <c r="B438" t="s">
        <v>13</v>
      </c>
      <c r="C438" t="s">
        <v>14</v>
      </c>
      <c r="D438">
        <v>80000</v>
      </c>
      <c r="E438">
        <v>2</v>
      </c>
      <c r="F438" s="2" t="s">
        <v>45</v>
      </c>
      <c r="G438" t="s">
        <v>31</v>
      </c>
      <c r="H438" t="s">
        <v>16</v>
      </c>
      <c r="I438" t="s">
        <v>17</v>
      </c>
      <c r="J438">
        <v>2</v>
      </c>
      <c r="K438" t="s">
        <v>44</v>
      </c>
      <c r="L438" t="s">
        <v>27</v>
      </c>
      <c r="M438" t="s">
        <v>28</v>
      </c>
      <c r="N438">
        <v>50</v>
      </c>
      <c r="O438" t="s">
        <v>17</v>
      </c>
    </row>
    <row r="439" spans="1:15" x14ac:dyDescent="0.25">
      <c r="A439">
        <v>438</v>
      </c>
      <c r="B439" t="s">
        <v>26</v>
      </c>
      <c r="C439" t="s">
        <v>14</v>
      </c>
      <c r="D439">
        <v>30000</v>
      </c>
      <c r="E439">
        <v>3</v>
      </c>
      <c r="F439" s="2" t="s">
        <v>45</v>
      </c>
      <c r="G439" t="s">
        <v>22</v>
      </c>
      <c r="H439" t="s">
        <v>23</v>
      </c>
      <c r="I439" t="s">
        <v>17</v>
      </c>
      <c r="J439">
        <v>2</v>
      </c>
      <c r="K439" t="s">
        <v>44</v>
      </c>
      <c r="L439" t="s">
        <v>18</v>
      </c>
      <c r="M439" t="s">
        <v>19</v>
      </c>
      <c r="N439">
        <v>28</v>
      </c>
      <c r="O439" t="s">
        <v>17</v>
      </c>
    </row>
    <row r="440" spans="1:15" x14ac:dyDescent="0.25">
      <c r="A440">
        <v>439</v>
      </c>
      <c r="B440" t="s">
        <v>26</v>
      </c>
      <c r="C440" t="s">
        <v>14</v>
      </c>
      <c r="D440">
        <v>80000</v>
      </c>
      <c r="E440">
        <v>0</v>
      </c>
      <c r="F440" s="2" t="s">
        <v>46</v>
      </c>
      <c r="G440" t="s">
        <v>35</v>
      </c>
      <c r="H440" t="s">
        <v>16</v>
      </c>
      <c r="I440" t="s">
        <v>20</v>
      </c>
      <c r="J440">
        <v>0</v>
      </c>
      <c r="K440" t="s">
        <v>43</v>
      </c>
      <c r="L440" t="s">
        <v>18</v>
      </c>
      <c r="M440" t="s">
        <v>19</v>
      </c>
      <c r="N440">
        <v>40</v>
      </c>
      <c r="O440" t="s">
        <v>17</v>
      </c>
    </row>
    <row r="441" spans="1:15" x14ac:dyDescent="0.25">
      <c r="A441">
        <v>440</v>
      </c>
      <c r="B441" t="s">
        <v>13</v>
      </c>
      <c r="C441" t="s">
        <v>21</v>
      </c>
      <c r="D441">
        <v>70000</v>
      </c>
      <c r="E441">
        <v>5</v>
      </c>
      <c r="F441" s="2" t="s">
        <v>45</v>
      </c>
      <c r="G441" t="s">
        <v>22</v>
      </c>
      <c r="H441" t="s">
        <v>16</v>
      </c>
      <c r="I441" t="s">
        <v>17</v>
      </c>
      <c r="J441">
        <v>2</v>
      </c>
      <c r="K441" t="s">
        <v>44</v>
      </c>
      <c r="L441" t="s">
        <v>18</v>
      </c>
      <c r="M441" t="s">
        <v>28</v>
      </c>
      <c r="N441">
        <v>44</v>
      </c>
      <c r="O441" t="s">
        <v>20</v>
      </c>
    </row>
    <row r="442" spans="1:15" x14ac:dyDescent="0.25">
      <c r="A442">
        <v>441</v>
      </c>
      <c r="B442" t="s">
        <v>26</v>
      </c>
      <c r="C442" t="s">
        <v>21</v>
      </c>
      <c r="D442">
        <v>90000</v>
      </c>
      <c r="E442">
        <v>0</v>
      </c>
      <c r="F442" s="2" t="s">
        <v>46</v>
      </c>
      <c r="G442" t="s">
        <v>15</v>
      </c>
      <c r="H442" t="s">
        <v>24</v>
      </c>
      <c r="I442" t="s">
        <v>20</v>
      </c>
      <c r="J442">
        <v>3</v>
      </c>
      <c r="K442" t="s">
        <v>44</v>
      </c>
      <c r="L442" t="s">
        <v>34</v>
      </c>
      <c r="M442" t="s">
        <v>28</v>
      </c>
      <c r="N442">
        <v>34</v>
      </c>
      <c r="O442" t="s">
        <v>17</v>
      </c>
    </row>
    <row r="443" spans="1:15" x14ac:dyDescent="0.25">
      <c r="A443">
        <v>442</v>
      </c>
      <c r="B443" t="s">
        <v>13</v>
      </c>
      <c r="C443" t="s">
        <v>21</v>
      </c>
      <c r="D443">
        <v>70000</v>
      </c>
      <c r="E443">
        <v>2</v>
      </c>
      <c r="F443" s="2" t="s">
        <v>45</v>
      </c>
      <c r="G443" t="s">
        <v>22</v>
      </c>
      <c r="H443" t="s">
        <v>16</v>
      </c>
      <c r="I443" t="s">
        <v>17</v>
      </c>
      <c r="J443">
        <v>2</v>
      </c>
      <c r="K443" t="s">
        <v>44</v>
      </c>
      <c r="L443" t="s">
        <v>27</v>
      </c>
      <c r="M443" t="s">
        <v>28</v>
      </c>
      <c r="N443">
        <v>52</v>
      </c>
      <c r="O443" t="s">
        <v>17</v>
      </c>
    </row>
    <row r="444" spans="1:15" x14ac:dyDescent="0.25">
      <c r="A444">
        <v>443</v>
      </c>
      <c r="B444" t="s">
        <v>26</v>
      </c>
      <c r="C444" t="s">
        <v>21</v>
      </c>
      <c r="D444">
        <v>80000</v>
      </c>
      <c r="E444">
        <v>4</v>
      </c>
      <c r="F444" s="2" t="s">
        <v>45</v>
      </c>
      <c r="G444" t="s">
        <v>35</v>
      </c>
      <c r="H444" t="s">
        <v>32</v>
      </c>
      <c r="I444" t="s">
        <v>17</v>
      </c>
      <c r="J444">
        <v>0</v>
      </c>
      <c r="K444" t="s">
        <v>43</v>
      </c>
      <c r="L444" t="s">
        <v>18</v>
      </c>
      <c r="M444" t="s">
        <v>28</v>
      </c>
      <c r="N444">
        <v>36</v>
      </c>
      <c r="O444" t="s">
        <v>17</v>
      </c>
    </row>
    <row r="445" spans="1:15" x14ac:dyDescent="0.25">
      <c r="A445">
        <v>444</v>
      </c>
      <c r="B445" t="s">
        <v>13</v>
      </c>
      <c r="C445" t="s">
        <v>14</v>
      </c>
      <c r="D445">
        <v>40000</v>
      </c>
      <c r="E445">
        <v>1</v>
      </c>
      <c r="F445" s="2" t="s">
        <v>45</v>
      </c>
      <c r="G445" t="s">
        <v>15</v>
      </c>
      <c r="H445" t="s">
        <v>16</v>
      </c>
      <c r="I445" t="s">
        <v>17</v>
      </c>
      <c r="J445">
        <v>1</v>
      </c>
      <c r="K445" t="s">
        <v>44</v>
      </c>
      <c r="L445" t="s">
        <v>18</v>
      </c>
      <c r="M445" t="s">
        <v>19</v>
      </c>
      <c r="N445">
        <v>43</v>
      </c>
      <c r="O445" t="s">
        <v>17</v>
      </c>
    </row>
    <row r="446" spans="1:15" x14ac:dyDescent="0.25">
      <c r="A446">
        <v>445</v>
      </c>
      <c r="B446" t="s">
        <v>26</v>
      </c>
      <c r="C446" t="s">
        <v>21</v>
      </c>
      <c r="D446">
        <v>30000</v>
      </c>
      <c r="E446">
        <v>0</v>
      </c>
      <c r="F446" s="2" t="s">
        <v>46</v>
      </c>
      <c r="G446" t="s">
        <v>31</v>
      </c>
      <c r="H446" t="s">
        <v>29</v>
      </c>
      <c r="I446" t="s">
        <v>20</v>
      </c>
      <c r="J446">
        <v>1</v>
      </c>
      <c r="K446" t="s">
        <v>44</v>
      </c>
      <c r="L446" t="s">
        <v>30</v>
      </c>
      <c r="M446" t="s">
        <v>19</v>
      </c>
      <c r="N446">
        <v>32</v>
      </c>
      <c r="O446" t="s">
        <v>20</v>
      </c>
    </row>
    <row r="447" spans="1:15" x14ac:dyDescent="0.25">
      <c r="A447">
        <v>446</v>
      </c>
      <c r="B447" t="s">
        <v>13</v>
      </c>
      <c r="C447" t="s">
        <v>14</v>
      </c>
      <c r="D447">
        <v>40000</v>
      </c>
      <c r="E447">
        <v>1</v>
      </c>
      <c r="F447" s="2" t="s">
        <v>45</v>
      </c>
      <c r="G447" t="s">
        <v>15</v>
      </c>
      <c r="H447" t="s">
        <v>16</v>
      </c>
      <c r="I447" t="s">
        <v>17</v>
      </c>
      <c r="J447">
        <v>1</v>
      </c>
      <c r="K447" t="s">
        <v>44</v>
      </c>
      <c r="L447" t="s">
        <v>30</v>
      </c>
      <c r="M447" t="s">
        <v>19</v>
      </c>
      <c r="N447">
        <v>32</v>
      </c>
      <c r="O447" t="s">
        <v>17</v>
      </c>
    </row>
    <row r="448" spans="1:15" x14ac:dyDescent="0.25">
      <c r="A448">
        <v>447</v>
      </c>
      <c r="B448" t="s">
        <v>13</v>
      </c>
      <c r="C448" t="s">
        <v>14</v>
      </c>
      <c r="D448">
        <v>130000</v>
      </c>
      <c r="E448">
        <v>0</v>
      </c>
      <c r="F448" s="2" t="s">
        <v>46</v>
      </c>
      <c r="G448" t="s">
        <v>35</v>
      </c>
      <c r="H448" t="s">
        <v>32</v>
      </c>
      <c r="I448" t="s">
        <v>17</v>
      </c>
      <c r="J448">
        <v>1</v>
      </c>
      <c r="K448" t="s">
        <v>44</v>
      </c>
      <c r="L448" t="s">
        <v>34</v>
      </c>
      <c r="M448" t="s">
        <v>28</v>
      </c>
      <c r="N448">
        <v>48</v>
      </c>
      <c r="O448" t="s">
        <v>20</v>
      </c>
    </row>
    <row r="449" spans="1:15" x14ac:dyDescent="0.25">
      <c r="A449">
        <v>448</v>
      </c>
      <c r="B449" t="s">
        <v>13</v>
      </c>
      <c r="C449" t="s">
        <v>14</v>
      </c>
      <c r="D449">
        <v>40000</v>
      </c>
      <c r="E449">
        <v>1</v>
      </c>
      <c r="F449" s="2" t="s">
        <v>45</v>
      </c>
      <c r="G449" t="s">
        <v>15</v>
      </c>
      <c r="H449" t="s">
        <v>16</v>
      </c>
      <c r="I449" t="s">
        <v>17</v>
      </c>
      <c r="J449">
        <v>0</v>
      </c>
      <c r="K449" t="s">
        <v>43</v>
      </c>
      <c r="L449" t="s">
        <v>30</v>
      </c>
      <c r="M449" t="s">
        <v>19</v>
      </c>
      <c r="N449">
        <v>32</v>
      </c>
      <c r="O449" t="s">
        <v>17</v>
      </c>
    </row>
    <row r="450" spans="1:15" x14ac:dyDescent="0.25">
      <c r="A450">
        <v>449</v>
      </c>
      <c r="B450" t="s">
        <v>13</v>
      </c>
      <c r="C450" t="s">
        <v>14</v>
      </c>
      <c r="D450">
        <v>30000</v>
      </c>
      <c r="E450">
        <v>3</v>
      </c>
      <c r="F450" s="2" t="s">
        <v>45</v>
      </c>
      <c r="G450" t="s">
        <v>35</v>
      </c>
      <c r="H450" t="s">
        <v>23</v>
      </c>
      <c r="I450" t="s">
        <v>17</v>
      </c>
      <c r="J450">
        <v>0</v>
      </c>
      <c r="K450" t="s">
        <v>43</v>
      </c>
      <c r="L450" t="s">
        <v>18</v>
      </c>
      <c r="M450" t="s">
        <v>19</v>
      </c>
      <c r="N450">
        <v>46</v>
      </c>
      <c r="O450" t="s">
        <v>20</v>
      </c>
    </row>
    <row r="451" spans="1:15" x14ac:dyDescent="0.25">
      <c r="A451">
        <v>450</v>
      </c>
      <c r="B451" t="s">
        <v>13</v>
      </c>
      <c r="C451" t="s">
        <v>14</v>
      </c>
      <c r="D451">
        <v>40000</v>
      </c>
      <c r="E451">
        <v>1</v>
      </c>
      <c r="F451" s="2" t="s">
        <v>45</v>
      </c>
      <c r="G451" t="s">
        <v>15</v>
      </c>
      <c r="H451" t="s">
        <v>16</v>
      </c>
      <c r="I451" t="s">
        <v>17</v>
      </c>
      <c r="J451">
        <v>0</v>
      </c>
      <c r="K451" t="s">
        <v>43</v>
      </c>
      <c r="L451" t="s">
        <v>18</v>
      </c>
      <c r="M451" t="s">
        <v>19</v>
      </c>
      <c r="N451">
        <v>42</v>
      </c>
      <c r="O451" t="s">
        <v>20</v>
      </c>
    </row>
    <row r="452" spans="1:15" x14ac:dyDescent="0.25">
      <c r="A452">
        <v>451</v>
      </c>
      <c r="B452" t="s">
        <v>26</v>
      </c>
      <c r="C452" t="s">
        <v>14</v>
      </c>
      <c r="D452">
        <v>10000</v>
      </c>
      <c r="E452">
        <v>2</v>
      </c>
      <c r="F452" s="2" t="s">
        <v>45</v>
      </c>
      <c r="G452" t="s">
        <v>31</v>
      </c>
      <c r="H452" t="s">
        <v>29</v>
      </c>
      <c r="I452" t="s">
        <v>17</v>
      </c>
      <c r="J452">
        <v>0</v>
      </c>
      <c r="K452" t="s">
        <v>43</v>
      </c>
      <c r="L452" t="s">
        <v>18</v>
      </c>
      <c r="M452" t="s">
        <v>19</v>
      </c>
      <c r="N452">
        <v>36</v>
      </c>
      <c r="O452" t="s">
        <v>17</v>
      </c>
    </row>
    <row r="453" spans="1:15" x14ac:dyDescent="0.25">
      <c r="A453">
        <v>452</v>
      </c>
      <c r="B453" t="s">
        <v>13</v>
      </c>
      <c r="C453" t="s">
        <v>14</v>
      </c>
      <c r="D453">
        <v>40000</v>
      </c>
      <c r="E453">
        <v>1</v>
      </c>
      <c r="F453" s="2" t="s">
        <v>45</v>
      </c>
      <c r="G453" t="s">
        <v>15</v>
      </c>
      <c r="H453" t="s">
        <v>16</v>
      </c>
      <c r="I453" t="s">
        <v>17</v>
      </c>
      <c r="J453">
        <v>0</v>
      </c>
      <c r="K453" t="s">
        <v>43</v>
      </c>
      <c r="L453" t="s">
        <v>18</v>
      </c>
      <c r="M453" t="s">
        <v>19</v>
      </c>
      <c r="N453">
        <v>41</v>
      </c>
      <c r="O453" t="s">
        <v>20</v>
      </c>
    </row>
    <row r="454" spans="1:15" x14ac:dyDescent="0.25">
      <c r="A454">
        <v>453</v>
      </c>
      <c r="B454" t="s">
        <v>13</v>
      </c>
      <c r="C454" t="s">
        <v>14</v>
      </c>
      <c r="D454">
        <v>30000</v>
      </c>
      <c r="E454">
        <v>2</v>
      </c>
      <c r="F454" s="2" t="s">
        <v>45</v>
      </c>
      <c r="G454" t="s">
        <v>22</v>
      </c>
      <c r="H454" t="s">
        <v>23</v>
      </c>
      <c r="I454" t="s">
        <v>20</v>
      </c>
      <c r="J454">
        <v>2</v>
      </c>
      <c r="K454" t="s">
        <v>44</v>
      </c>
      <c r="L454" t="s">
        <v>18</v>
      </c>
      <c r="M454" t="s">
        <v>28</v>
      </c>
      <c r="N454">
        <v>69</v>
      </c>
      <c r="O454" t="s">
        <v>20</v>
      </c>
    </row>
    <row r="455" spans="1:15" x14ac:dyDescent="0.25">
      <c r="A455">
        <v>454</v>
      </c>
      <c r="B455" t="s">
        <v>26</v>
      </c>
      <c r="C455" t="s">
        <v>14</v>
      </c>
      <c r="D455">
        <v>70000</v>
      </c>
      <c r="E455">
        <v>5</v>
      </c>
      <c r="F455" s="2" t="s">
        <v>45</v>
      </c>
      <c r="G455" t="s">
        <v>22</v>
      </c>
      <c r="H455" t="s">
        <v>16</v>
      </c>
      <c r="I455" t="s">
        <v>17</v>
      </c>
      <c r="J455">
        <v>2</v>
      </c>
      <c r="K455" t="s">
        <v>44</v>
      </c>
      <c r="L455" t="s">
        <v>27</v>
      </c>
      <c r="M455" t="s">
        <v>28</v>
      </c>
      <c r="N455">
        <v>45</v>
      </c>
      <c r="O455" t="s">
        <v>20</v>
      </c>
    </row>
    <row r="456" spans="1:15" x14ac:dyDescent="0.25">
      <c r="A456">
        <v>455</v>
      </c>
      <c r="B456" t="s">
        <v>26</v>
      </c>
      <c r="C456" t="s">
        <v>21</v>
      </c>
      <c r="D456">
        <v>30000</v>
      </c>
      <c r="E456">
        <v>0</v>
      </c>
      <c r="F456" s="2" t="s">
        <v>46</v>
      </c>
      <c r="G456" t="s">
        <v>31</v>
      </c>
      <c r="H456" t="s">
        <v>29</v>
      </c>
      <c r="I456" t="s">
        <v>20</v>
      </c>
      <c r="J456">
        <v>1</v>
      </c>
      <c r="K456" t="s">
        <v>44</v>
      </c>
      <c r="L456" t="s">
        <v>25</v>
      </c>
      <c r="M456" t="s">
        <v>19</v>
      </c>
      <c r="N456">
        <v>34</v>
      </c>
      <c r="O456" t="s">
        <v>20</v>
      </c>
    </row>
    <row r="457" spans="1:15" x14ac:dyDescent="0.25">
      <c r="A457">
        <v>456</v>
      </c>
      <c r="B457" t="s">
        <v>13</v>
      </c>
      <c r="C457" t="s">
        <v>14</v>
      </c>
      <c r="D457">
        <v>80000</v>
      </c>
      <c r="E457">
        <v>4</v>
      </c>
      <c r="F457" s="2" t="s">
        <v>45</v>
      </c>
      <c r="G457" t="s">
        <v>22</v>
      </c>
      <c r="H457" t="s">
        <v>24</v>
      </c>
      <c r="I457" t="s">
        <v>20</v>
      </c>
      <c r="J457">
        <v>1</v>
      </c>
      <c r="K457" t="s">
        <v>44</v>
      </c>
      <c r="L457" t="s">
        <v>25</v>
      </c>
      <c r="M457" t="s">
        <v>19</v>
      </c>
      <c r="N457">
        <v>53</v>
      </c>
      <c r="O457" t="s">
        <v>17</v>
      </c>
    </row>
    <row r="458" spans="1:15" x14ac:dyDescent="0.25">
      <c r="A458">
        <v>457</v>
      </c>
      <c r="B458" t="s">
        <v>26</v>
      </c>
      <c r="C458" t="s">
        <v>21</v>
      </c>
      <c r="D458">
        <v>120000</v>
      </c>
      <c r="E458">
        <v>3</v>
      </c>
      <c r="F458" s="2" t="s">
        <v>45</v>
      </c>
      <c r="G458" t="s">
        <v>31</v>
      </c>
      <c r="H458" t="s">
        <v>24</v>
      </c>
      <c r="I458" t="s">
        <v>20</v>
      </c>
      <c r="J458">
        <v>4</v>
      </c>
      <c r="K458" t="s">
        <v>44</v>
      </c>
      <c r="L458" t="s">
        <v>27</v>
      </c>
      <c r="M458" t="s">
        <v>19</v>
      </c>
      <c r="N458">
        <v>50</v>
      </c>
      <c r="O458" t="s">
        <v>20</v>
      </c>
    </row>
    <row r="459" spans="1:15" x14ac:dyDescent="0.25">
      <c r="A459">
        <v>458</v>
      </c>
      <c r="B459" t="s">
        <v>13</v>
      </c>
      <c r="C459" t="s">
        <v>14</v>
      </c>
      <c r="D459">
        <v>20000</v>
      </c>
      <c r="E459">
        <v>1</v>
      </c>
      <c r="F459" s="2" t="s">
        <v>45</v>
      </c>
      <c r="G459" t="s">
        <v>22</v>
      </c>
      <c r="H459" t="s">
        <v>29</v>
      </c>
      <c r="I459" t="s">
        <v>17</v>
      </c>
      <c r="J459">
        <v>0</v>
      </c>
      <c r="K459" t="s">
        <v>43</v>
      </c>
      <c r="L459" t="s">
        <v>18</v>
      </c>
      <c r="M459" t="s">
        <v>19</v>
      </c>
      <c r="N459">
        <v>65</v>
      </c>
      <c r="O459" t="s">
        <v>20</v>
      </c>
    </row>
    <row r="460" spans="1:15" x14ac:dyDescent="0.25">
      <c r="A460">
        <v>459</v>
      </c>
      <c r="B460" t="s">
        <v>13</v>
      </c>
      <c r="C460" t="s">
        <v>21</v>
      </c>
      <c r="D460">
        <v>120000</v>
      </c>
      <c r="E460">
        <v>0</v>
      </c>
      <c r="F460" s="2" t="s">
        <v>46</v>
      </c>
      <c r="G460" t="s">
        <v>33</v>
      </c>
      <c r="H460" t="s">
        <v>24</v>
      </c>
      <c r="I460" t="s">
        <v>17</v>
      </c>
      <c r="J460">
        <v>4</v>
      </c>
      <c r="K460" t="s">
        <v>44</v>
      </c>
      <c r="L460" t="s">
        <v>34</v>
      </c>
      <c r="M460" t="s">
        <v>28</v>
      </c>
      <c r="N460">
        <v>32</v>
      </c>
      <c r="O460" t="s">
        <v>17</v>
      </c>
    </row>
    <row r="461" spans="1:15" x14ac:dyDescent="0.25">
      <c r="A461">
        <v>460</v>
      </c>
      <c r="B461" t="s">
        <v>26</v>
      </c>
      <c r="C461" t="s">
        <v>14</v>
      </c>
      <c r="D461">
        <v>80000</v>
      </c>
      <c r="E461">
        <v>0</v>
      </c>
      <c r="F461" s="2" t="s">
        <v>46</v>
      </c>
      <c r="G461" t="s">
        <v>15</v>
      </c>
      <c r="H461" t="s">
        <v>24</v>
      </c>
      <c r="I461" t="s">
        <v>20</v>
      </c>
      <c r="J461">
        <v>3</v>
      </c>
      <c r="K461" t="s">
        <v>44</v>
      </c>
      <c r="L461" t="s">
        <v>34</v>
      </c>
      <c r="M461" t="s">
        <v>28</v>
      </c>
      <c r="N461">
        <v>33</v>
      </c>
      <c r="O461" t="s">
        <v>20</v>
      </c>
    </row>
    <row r="462" spans="1:15" x14ac:dyDescent="0.25">
      <c r="A462">
        <v>461</v>
      </c>
      <c r="B462" t="s">
        <v>26</v>
      </c>
      <c r="C462" t="s">
        <v>21</v>
      </c>
      <c r="D462">
        <v>20000</v>
      </c>
      <c r="E462">
        <v>0</v>
      </c>
      <c r="F462" s="2" t="s">
        <v>46</v>
      </c>
      <c r="G462" t="s">
        <v>33</v>
      </c>
      <c r="H462" t="s">
        <v>29</v>
      </c>
      <c r="I462" t="s">
        <v>17</v>
      </c>
      <c r="J462">
        <v>2</v>
      </c>
      <c r="K462" t="s">
        <v>44</v>
      </c>
      <c r="L462" t="s">
        <v>30</v>
      </c>
      <c r="M462" t="s">
        <v>19</v>
      </c>
      <c r="N462">
        <v>31</v>
      </c>
      <c r="O462" t="s">
        <v>17</v>
      </c>
    </row>
    <row r="463" spans="1:15" x14ac:dyDescent="0.25">
      <c r="A463">
        <v>462</v>
      </c>
      <c r="B463" t="s">
        <v>13</v>
      </c>
      <c r="C463" t="s">
        <v>14</v>
      </c>
      <c r="D463">
        <v>120000</v>
      </c>
      <c r="E463">
        <v>1</v>
      </c>
      <c r="F463" s="2" t="s">
        <v>45</v>
      </c>
      <c r="G463" t="s">
        <v>15</v>
      </c>
      <c r="H463" t="s">
        <v>32</v>
      </c>
      <c r="I463" t="s">
        <v>17</v>
      </c>
      <c r="J463">
        <v>2</v>
      </c>
      <c r="K463" t="s">
        <v>44</v>
      </c>
      <c r="L463" t="s">
        <v>18</v>
      </c>
      <c r="M463" t="s">
        <v>28</v>
      </c>
      <c r="N463">
        <v>46</v>
      </c>
      <c r="O463" t="s">
        <v>17</v>
      </c>
    </row>
    <row r="464" spans="1:15" x14ac:dyDescent="0.25">
      <c r="A464">
        <v>463</v>
      </c>
      <c r="B464" t="s">
        <v>13</v>
      </c>
      <c r="C464" t="s">
        <v>14</v>
      </c>
      <c r="D464">
        <v>40000</v>
      </c>
      <c r="E464">
        <v>0</v>
      </c>
      <c r="F464" s="2" t="s">
        <v>46</v>
      </c>
      <c r="G464" t="s">
        <v>15</v>
      </c>
      <c r="H464" t="s">
        <v>23</v>
      </c>
      <c r="I464" t="s">
        <v>17</v>
      </c>
      <c r="J464">
        <v>0</v>
      </c>
      <c r="K464" t="s">
        <v>43</v>
      </c>
      <c r="L464" t="s">
        <v>18</v>
      </c>
      <c r="M464" t="s">
        <v>19</v>
      </c>
      <c r="N464">
        <v>39</v>
      </c>
      <c r="O464" t="s">
        <v>17</v>
      </c>
    </row>
    <row r="465" spans="1:15" x14ac:dyDescent="0.25">
      <c r="A465">
        <v>464</v>
      </c>
      <c r="B465" t="s">
        <v>26</v>
      </c>
      <c r="C465" t="s">
        <v>21</v>
      </c>
      <c r="D465">
        <v>20000</v>
      </c>
      <c r="E465">
        <v>2</v>
      </c>
      <c r="F465" s="2" t="s">
        <v>45</v>
      </c>
      <c r="G465" t="s">
        <v>31</v>
      </c>
      <c r="H465" t="s">
        <v>29</v>
      </c>
      <c r="I465" t="s">
        <v>17</v>
      </c>
      <c r="J465">
        <v>1</v>
      </c>
      <c r="K465" t="s">
        <v>44</v>
      </c>
      <c r="L465" t="s">
        <v>18</v>
      </c>
      <c r="M465" t="s">
        <v>19</v>
      </c>
      <c r="N465">
        <v>40</v>
      </c>
      <c r="O465" t="s">
        <v>20</v>
      </c>
    </row>
    <row r="466" spans="1:15" x14ac:dyDescent="0.25">
      <c r="A466">
        <v>465</v>
      </c>
      <c r="B466" t="s">
        <v>26</v>
      </c>
      <c r="C466" t="s">
        <v>14</v>
      </c>
      <c r="D466">
        <v>30000</v>
      </c>
      <c r="E466">
        <v>3</v>
      </c>
      <c r="F466" s="2" t="s">
        <v>45</v>
      </c>
      <c r="G466" t="s">
        <v>15</v>
      </c>
      <c r="H466" t="s">
        <v>23</v>
      </c>
      <c r="I466" t="s">
        <v>17</v>
      </c>
      <c r="J466">
        <v>0</v>
      </c>
      <c r="K466" t="s">
        <v>43</v>
      </c>
      <c r="L466" t="s">
        <v>18</v>
      </c>
      <c r="M466" t="s">
        <v>19</v>
      </c>
      <c r="N466">
        <v>46</v>
      </c>
      <c r="O466" t="s">
        <v>17</v>
      </c>
    </row>
    <row r="467" spans="1:15" x14ac:dyDescent="0.25">
      <c r="A467">
        <v>466</v>
      </c>
      <c r="B467" t="s">
        <v>13</v>
      </c>
      <c r="C467" t="s">
        <v>21</v>
      </c>
      <c r="D467">
        <v>40000</v>
      </c>
      <c r="E467">
        <v>2</v>
      </c>
      <c r="F467" s="2" t="s">
        <v>45</v>
      </c>
      <c r="G467" t="s">
        <v>15</v>
      </c>
      <c r="H467" t="s">
        <v>32</v>
      </c>
      <c r="I467" t="s">
        <v>17</v>
      </c>
      <c r="J467">
        <v>2</v>
      </c>
      <c r="K467" t="s">
        <v>44</v>
      </c>
      <c r="L467" t="s">
        <v>18</v>
      </c>
      <c r="M467" t="s">
        <v>28</v>
      </c>
      <c r="N467">
        <v>65</v>
      </c>
      <c r="O467" t="s">
        <v>20</v>
      </c>
    </row>
    <row r="468" spans="1:15" x14ac:dyDescent="0.25">
      <c r="A468">
        <v>467</v>
      </c>
      <c r="B468" t="s">
        <v>26</v>
      </c>
      <c r="C468" t="s">
        <v>14</v>
      </c>
      <c r="D468">
        <v>30000</v>
      </c>
      <c r="E468">
        <v>3</v>
      </c>
      <c r="F468" s="2" t="s">
        <v>45</v>
      </c>
      <c r="G468" t="s">
        <v>15</v>
      </c>
      <c r="H468" t="s">
        <v>23</v>
      </c>
      <c r="I468" t="s">
        <v>17</v>
      </c>
      <c r="J468">
        <v>0</v>
      </c>
      <c r="K468" t="s">
        <v>43</v>
      </c>
      <c r="L468" t="s">
        <v>18</v>
      </c>
      <c r="M468" t="s">
        <v>19</v>
      </c>
      <c r="N468">
        <v>47</v>
      </c>
      <c r="O468" t="s">
        <v>17</v>
      </c>
    </row>
    <row r="469" spans="1:15" x14ac:dyDescent="0.25">
      <c r="A469">
        <v>468</v>
      </c>
      <c r="B469" t="s">
        <v>26</v>
      </c>
      <c r="C469" t="s">
        <v>21</v>
      </c>
      <c r="D469">
        <v>100000</v>
      </c>
      <c r="E469">
        <v>1</v>
      </c>
      <c r="F469" s="2" t="s">
        <v>45</v>
      </c>
      <c r="G469" t="s">
        <v>15</v>
      </c>
      <c r="H469" t="s">
        <v>32</v>
      </c>
      <c r="I469" t="s">
        <v>20</v>
      </c>
      <c r="J469">
        <v>3</v>
      </c>
      <c r="K469" t="s">
        <v>44</v>
      </c>
      <c r="L469" t="s">
        <v>18</v>
      </c>
      <c r="M469" t="s">
        <v>28</v>
      </c>
      <c r="N469">
        <v>46</v>
      </c>
      <c r="O469" t="s">
        <v>17</v>
      </c>
    </row>
    <row r="470" spans="1:15" x14ac:dyDescent="0.25">
      <c r="A470">
        <v>469</v>
      </c>
      <c r="B470" t="s">
        <v>13</v>
      </c>
      <c r="C470" t="s">
        <v>14</v>
      </c>
      <c r="D470">
        <v>80000</v>
      </c>
      <c r="E470">
        <v>5</v>
      </c>
      <c r="F470" s="2" t="s">
        <v>45</v>
      </c>
      <c r="G470" t="s">
        <v>35</v>
      </c>
      <c r="H470" t="s">
        <v>32</v>
      </c>
      <c r="I470" t="s">
        <v>17</v>
      </c>
      <c r="J470">
        <v>3</v>
      </c>
      <c r="K470" t="s">
        <v>44</v>
      </c>
      <c r="L470" t="s">
        <v>18</v>
      </c>
      <c r="M470" t="s">
        <v>28</v>
      </c>
      <c r="N470">
        <v>40</v>
      </c>
      <c r="O470" t="s">
        <v>20</v>
      </c>
    </row>
    <row r="471" spans="1:15" x14ac:dyDescent="0.25">
      <c r="A471">
        <v>470</v>
      </c>
      <c r="B471" t="s">
        <v>13</v>
      </c>
      <c r="C471" t="s">
        <v>14</v>
      </c>
      <c r="D471">
        <v>30000</v>
      </c>
      <c r="E471">
        <v>1</v>
      </c>
      <c r="F471" s="2" t="s">
        <v>45</v>
      </c>
      <c r="G471" t="s">
        <v>15</v>
      </c>
      <c r="H471" t="s">
        <v>23</v>
      </c>
      <c r="I471" t="s">
        <v>17</v>
      </c>
      <c r="J471">
        <v>0</v>
      </c>
      <c r="K471" t="s">
        <v>43</v>
      </c>
      <c r="L471" t="s">
        <v>18</v>
      </c>
      <c r="M471" t="s">
        <v>19</v>
      </c>
      <c r="N471">
        <v>65</v>
      </c>
      <c r="O471" t="s">
        <v>20</v>
      </c>
    </row>
    <row r="472" spans="1:15" x14ac:dyDescent="0.25">
      <c r="A472">
        <v>471</v>
      </c>
      <c r="B472" t="s">
        <v>26</v>
      </c>
      <c r="C472" t="s">
        <v>21</v>
      </c>
      <c r="D472">
        <v>30000</v>
      </c>
      <c r="E472">
        <v>0</v>
      </c>
      <c r="F472" s="2" t="s">
        <v>46</v>
      </c>
      <c r="G472" t="s">
        <v>31</v>
      </c>
      <c r="H472" t="s">
        <v>29</v>
      </c>
      <c r="I472" t="s">
        <v>20</v>
      </c>
      <c r="J472">
        <v>1</v>
      </c>
      <c r="K472" t="s">
        <v>44</v>
      </c>
      <c r="L472" t="s">
        <v>30</v>
      </c>
      <c r="M472" t="s">
        <v>19</v>
      </c>
      <c r="N472">
        <v>28</v>
      </c>
      <c r="O472" t="s">
        <v>20</v>
      </c>
    </row>
    <row r="473" spans="1:15" x14ac:dyDescent="0.25">
      <c r="A473">
        <v>472</v>
      </c>
      <c r="B473" t="s">
        <v>26</v>
      </c>
      <c r="C473" t="s">
        <v>21</v>
      </c>
      <c r="D473">
        <v>70000</v>
      </c>
      <c r="E473">
        <v>0</v>
      </c>
      <c r="F473" s="2" t="s">
        <v>46</v>
      </c>
      <c r="G473" t="s">
        <v>15</v>
      </c>
      <c r="H473" t="s">
        <v>24</v>
      </c>
      <c r="I473" t="s">
        <v>20</v>
      </c>
      <c r="J473">
        <v>2</v>
      </c>
      <c r="K473" t="s">
        <v>44</v>
      </c>
      <c r="L473" t="s">
        <v>27</v>
      </c>
      <c r="M473" t="s">
        <v>28</v>
      </c>
      <c r="N473">
        <v>43</v>
      </c>
      <c r="O473" t="s">
        <v>17</v>
      </c>
    </row>
    <row r="474" spans="1:15" x14ac:dyDescent="0.25">
      <c r="A474">
        <v>473</v>
      </c>
      <c r="B474" t="s">
        <v>26</v>
      </c>
      <c r="C474" t="s">
        <v>14</v>
      </c>
      <c r="D474">
        <v>40000</v>
      </c>
      <c r="E474">
        <v>0</v>
      </c>
      <c r="F474" s="2" t="s">
        <v>46</v>
      </c>
      <c r="G474" t="s">
        <v>35</v>
      </c>
      <c r="H474" t="s">
        <v>23</v>
      </c>
      <c r="I474" t="s">
        <v>17</v>
      </c>
      <c r="J474">
        <v>0</v>
      </c>
      <c r="K474" t="s">
        <v>43</v>
      </c>
      <c r="L474" t="s">
        <v>18</v>
      </c>
      <c r="M474" t="s">
        <v>19</v>
      </c>
      <c r="N474">
        <v>38</v>
      </c>
      <c r="O474" t="s">
        <v>17</v>
      </c>
    </row>
    <row r="475" spans="1:15" x14ac:dyDescent="0.25">
      <c r="A475">
        <v>474</v>
      </c>
      <c r="B475" t="s">
        <v>13</v>
      </c>
      <c r="C475" t="s">
        <v>14</v>
      </c>
      <c r="D475">
        <v>30000</v>
      </c>
      <c r="E475">
        <v>0</v>
      </c>
      <c r="F475" s="2" t="s">
        <v>46</v>
      </c>
      <c r="G475" t="s">
        <v>15</v>
      </c>
      <c r="H475" t="s">
        <v>23</v>
      </c>
      <c r="I475" t="s">
        <v>17</v>
      </c>
      <c r="J475">
        <v>0</v>
      </c>
      <c r="K475" t="s">
        <v>43</v>
      </c>
      <c r="L475" t="s">
        <v>18</v>
      </c>
      <c r="M475" t="s">
        <v>19</v>
      </c>
      <c r="N475">
        <v>47</v>
      </c>
      <c r="O475" t="s">
        <v>17</v>
      </c>
    </row>
    <row r="476" spans="1:15" x14ac:dyDescent="0.25">
      <c r="A476">
        <v>475</v>
      </c>
      <c r="B476" t="s">
        <v>13</v>
      </c>
      <c r="C476" t="s">
        <v>14</v>
      </c>
      <c r="D476">
        <v>90000</v>
      </c>
      <c r="E476">
        <v>2</v>
      </c>
      <c r="F476" s="2" t="s">
        <v>45</v>
      </c>
      <c r="G476" t="s">
        <v>15</v>
      </c>
      <c r="H476" t="s">
        <v>24</v>
      </c>
      <c r="I476" t="s">
        <v>20</v>
      </c>
      <c r="J476">
        <v>0</v>
      </c>
      <c r="K476" t="s">
        <v>43</v>
      </c>
      <c r="L476" t="s">
        <v>18</v>
      </c>
      <c r="M476" t="s">
        <v>28</v>
      </c>
      <c r="N476">
        <v>36</v>
      </c>
      <c r="O476" t="s">
        <v>17</v>
      </c>
    </row>
    <row r="477" spans="1:15" x14ac:dyDescent="0.25">
      <c r="A477">
        <v>476</v>
      </c>
      <c r="B477" t="s">
        <v>13</v>
      </c>
      <c r="C477" t="s">
        <v>21</v>
      </c>
      <c r="D477">
        <v>20000</v>
      </c>
      <c r="E477">
        <v>4</v>
      </c>
      <c r="F477" s="2" t="s">
        <v>45</v>
      </c>
      <c r="G477" t="s">
        <v>31</v>
      </c>
      <c r="H477" t="s">
        <v>16</v>
      </c>
      <c r="I477" t="s">
        <v>20</v>
      </c>
      <c r="J477">
        <v>2</v>
      </c>
      <c r="K477" t="s">
        <v>44</v>
      </c>
      <c r="L477" t="s">
        <v>30</v>
      </c>
      <c r="M477" t="s">
        <v>28</v>
      </c>
      <c r="N477">
        <v>60</v>
      </c>
      <c r="O477" t="s">
        <v>20</v>
      </c>
    </row>
    <row r="478" spans="1:15" x14ac:dyDescent="0.25">
      <c r="A478">
        <v>477</v>
      </c>
      <c r="B478" t="s">
        <v>26</v>
      </c>
      <c r="C478" t="s">
        <v>14</v>
      </c>
      <c r="D478">
        <v>70000</v>
      </c>
      <c r="E478">
        <v>0</v>
      </c>
      <c r="F478" s="2" t="s">
        <v>46</v>
      </c>
      <c r="G478" t="s">
        <v>15</v>
      </c>
      <c r="H478" t="s">
        <v>24</v>
      </c>
      <c r="I478" t="s">
        <v>17</v>
      </c>
      <c r="J478">
        <v>1</v>
      </c>
      <c r="K478" t="s">
        <v>44</v>
      </c>
      <c r="L478" t="s">
        <v>27</v>
      </c>
      <c r="M478" t="s">
        <v>28</v>
      </c>
      <c r="N478">
        <v>42</v>
      </c>
      <c r="O478" t="s">
        <v>17</v>
      </c>
    </row>
    <row r="479" spans="1:15" x14ac:dyDescent="0.25">
      <c r="A479">
        <v>478</v>
      </c>
      <c r="B479" t="s">
        <v>13</v>
      </c>
      <c r="C479" t="s">
        <v>21</v>
      </c>
      <c r="D479">
        <v>70000</v>
      </c>
      <c r="E479">
        <v>2</v>
      </c>
      <c r="F479" s="2" t="s">
        <v>45</v>
      </c>
      <c r="G479" t="s">
        <v>31</v>
      </c>
      <c r="H479" t="s">
        <v>16</v>
      </c>
      <c r="I479" t="s">
        <v>20</v>
      </c>
      <c r="J479">
        <v>2</v>
      </c>
      <c r="K479" t="s">
        <v>44</v>
      </c>
      <c r="L479" t="s">
        <v>30</v>
      </c>
      <c r="M479" t="s">
        <v>28</v>
      </c>
      <c r="N479">
        <v>50</v>
      </c>
      <c r="O479" t="s">
        <v>17</v>
      </c>
    </row>
    <row r="480" spans="1:15" x14ac:dyDescent="0.25">
      <c r="A480">
        <v>479</v>
      </c>
      <c r="B480" t="s">
        <v>13</v>
      </c>
      <c r="C480" t="s">
        <v>21</v>
      </c>
      <c r="D480">
        <v>30000</v>
      </c>
      <c r="E480">
        <v>0</v>
      </c>
      <c r="F480" s="2" t="s">
        <v>46</v>
      </c>
      <c r="G480" t="s">
        <v>15</v>
      </c>
      <c r="H480" t="s">
        <v>23</v>
      </c>
      <c r="I480" t="s">
        <v>17</v>
      </c>
      <c r="J480">
        <v>0</v>
      </c>
      <c r="K480" t="s">
        <v>43</v>
      </c>
      <c r="L480" t="s">
        <v>18</v>
      </c>
      <c r="M480" t="s">
        <v>19</v>
      </c>
      <c r="N480">
        <v>35</v>
      </c>
      <c r="O480" t="s">
        <v>17</v>
      </c>
    </row>
    <row r="481" spans="1:15" x14ac:dyDescent="0.25">
      <c r="A481">
        <v>480</v>
      </c>
      <c r="B481" t="s">
        <v>13</v>
      </c>
      <c r="C481" t="s">
        <v>21</v>
      </c>
      <c r="D481">
        <v>40000</v>
      </c>
      <c r="E481">
        <v>1</v>
      </c>
      <c r="F481" s="2" t="s">
        <v>45</v>
      </c>
      <c r="G481" t="s">
        <v>15</v>
      </c>
      <c r="H481" t="s">
        <v>16</v>
      </c>
      <c r="I481" t="s">
        <v>17</v>
      </c>
      <c r="J481">
        <v>1</v>
      </c>
      <c r="K481" t="s">
        <v>44</v>
      </c>
      <c r="L481" t="s">
        <v>18</v>
      </c>
      <c r="M481" t="s">
        <v>19</v>
      </c>
      <c r="N481">
        <v>32</v>
      </c>
      <c r="O481" t="s">
        <v>17</v>
      </c>
    </row>
    <row r="482" spans="1:15" x14ac:dyDescent="0.25">
      <c r="A482">
        <v>481</v>
      </c>
      <c r="B482" t="s">
        <v>13</v>
      </c>
      <c r="C482" t="s">
        <v>14</v>
      </c>
      <c r="D482">
        <v>90000</v>
      </c>
      <c r="E482">
        <v>1</v>
      </c>
      <c r="F482" s="2" t="s">
        <v>45</v>
      </c>
      <c r="G482" t="s">
        <v>15</v>
      </c>
      <c r="H482" t="s">
        <v>24</v>
      </c>
      <c r="I482" t="s">
        <v>17</v>
      </c>
      <c r="J482">
        <v>1</v>
      </c>
      <c r="K482" t="s">
        <v>44</v>
      </c>
      <c r="L482" t="s">
        <v>27</v>
      </c>
      <c r="M482" t="s">
        <v>28</v>
      </c>
      <c r="N482">
        <v>46</v>
      </c>
      <c r="O482" t="s">
        <v>20</v>
      </c>
    </row>
    <row r="483" spans="1:15" x14ac:dyDescent="0.25">
      <c r="A483">
        <v>482</v>
      </c>
      <c r="B483" t="s">
        <v>26</v>
      </c>
      <c r="C483" t="s">
        <v>14</v>
      </c>
      <c r="D483">
        <v>40000</v>
      </c>
      <c r="E483">
        <v>2</v>
      </c>
      <c r="F483" s="2" t="s">
        <v>45</v>
      </c>
      <c r="G483" t="s">
        <v>22</v>
      </c>
      <c r="H483" t="s">
        <v>23</v>
      </c>
      <c r="I483" t="s">
        <v>17</v>
      </c>
      <c r="J483">
        <v>0</v>
      </c>
      <c r="K483" t="s">
        <v>43</v>
      </c>
      <c r="L483" t="s">
        <v>30</v>
      </c>
      <c r="M483" t="s">
        <v>19</v>
      </c>
      <c r="N483">
        <v>33</v>
      </c>
      <c r="O483" t="s">
        <v>17</v>
      </c>
    </row>
    <row r="484" spans="1:15" x14ac:dyDescent="0.25">
      <c r="A484">
        <v>483</v>
      </c>
      <c r="B484" t="s">
        <v>26</v>
      </c>
      <c r="C484" t="s">
        <v>21</v>
      </c>
      <c r="D484">
        <v>40000</v>
      </c>
      <c r="E484">
        <v>0</v>
      </c>
      <c r="F484" s="2" t="s">
        <v>46</v>
      </c>
      <c r="G484" t="s">
        <v>35</v>
      </c>
      <c r="H484" t="s">
        <v>23</v>
      </c>
      <c r="I484" t="s">
        <v>20</v>
      </c>
      <c r="J484">
        <v>0</v>
      </c>
      <c r="K484" t="s">
        <v>43</v>
      </c>
      <c r="L484" t="s">
        <v>18</v>
      </c>
      <c r="M484" t="s">
        <v>19</v>
      </c>
      <c r="N484">
        <v>36</v>
      </c>
      <c r="O484" t="s">
        <v>17</v>
      </c>
    </row>
    <row r="485" spans="1:15" x14ac:dyDescent="0.25">
      <c r="A485">
        <v>484</v>
      </c>
      <c r="B485" t="s">
        <v>13</v>
      </c>
      <c r="C485" t="s">
        <v>21</v>
      </c>
      <c r="D485">
        <v>10000</v>
      </c>
      <c r="E485">
        <v>1</v>
      </c>
      <c r="F485" s="2" t="s">
        <v>45</v>
      </c>
      <c r="G485" t="s">
        <v>35</v>
      </c>
      <c r="H485" t="s">
        <v>23</v>
      </c>
      <c r="I485" t="s">
        <v>17</v>
      </c>
      <c r="J485">
        <v>0</v>
      </c>
      <c r="K485" t="s">
        <v>43</v>
      </c>
      <c r="L485" t="s">
        <v>18</v>
      </c>
      <c r="M485" t="s">
        <v>19</v>
      </c>
      <c r="N485">
        <v>70</v>
      </c>
      <c r="O485" t="s">
        <v>20</v>
      </c>
    </row>
    <row r="486" spans="1:15" x14ac:dyDescent="0.25">
      <c r="A486">
        <v>485</v>
      </c>
      <c r="B486" t="s">
        <v>26</v>
      </c>
      <c r="C486" t="s">
        <v>14</v>
      </c>
      <c r="D486">
        <v>30000</v>
      </c>
      <c r="E486">
        <v>0</v>
      </c>
      <c r="F486" s="2" t="s">
        <v>46</v>
      </c>
      <c r="G486" t="s">
        <v>22</v>
      </c>
      <c r="H486" t="s">
        <v>23</v>
      </c>
      <c r="I486" t="s">
        <v>20</v>
      </c>
      <c r="J486">
        <v>1</v>
      </c>
      <c r="K486" t="s">
        <v>44</v>
      </c>
      <c r="L486" t="s">
        <v>25</v>
      </c>
      <c r="M486" t="s">
        <v>19</v>
      </c>
      <c r="N486">
        <v>31</v>
      </c>
      <c r="O486" t="s">
        <v>17</v>
      </c>
    </row>
    <row r="487" spans="1:15" x14ac:dyDescent="0.25">
      <c r="A487">
        <v>486</v>
      </c>
      <c r="B487" t="s">
        <v>26</v>
      </c>
      <c r="C487" t="s">
        <v>21</v>
      </c>
      <c r="D487">
        <v>30000</v>
      </c>
      <c r="E487">
        <v>2</v>
      </c>
      <c r="F487" s="2" t="s">
        <v>45</v>
      </c>
      <c r="G487" t="s">
        <v>22</v>
      </c>
      <c r="H487" t="s">
        <v>23</v>
      </c>
      <c r="I487" t="s">
        <v>17</v>
      </c>
      <c r="J487">
        <v>2</v>
      </c>
      <c r="K487" t="s">
        <v>44</v>
      </c>
      <c r="L487" t="s">
        <v>18</v>
      </c>
      <c r="M487" t="s">
        <v>19</v>
      </c>
      <c r="N487">
        <v>42</v>
      </c>
      <c r="O487" t="s">
        <v>20</v>
      </c>
    </row>
    <row r="488" spans="1:15" x14ac:dyDescent="0.25">
      <c r="A488">
        <v>487</v>
      </c>
      <c r="B488" t="s">
        <v>13</v>
      </c>
      <c r="C488" t="s">
        <v>14</v>
      </c>
      <c r="D488">
        <v>90000</v>
      </c>
      <c r="E488">
        <v>4</v>
      </c>
      <c r="F488" s="2" t="s">
        <v>45</v>
      </c>
      <c r="G488" t="s">
        <v>33</v>
      </c>
      <c r="H488" t="s">
        <v>16</v>
      </c>
      <c r="I488" t="s">
        <v>17</v>
      </c>
      <c r="J488">
        <v>4</v>
      </c>
      <c r="K488" t="s">
        <v>44</v>
      </c>
      <c r="L488" t="s">
        <v>34</v>
      </c>
      <c r="M488" t="s">
        <v>19</v>
      </c>
      <c r="N488">
        <v>58</v>
      </c>
      <c r="O488" t="s">
        <v>20</v>
      </c>
    </row>
    <row r="489" spans="1:15" x14ac:dyDescent="0.25">
      <c r="A489">
        <v>488</v>
      </c>
      <c r="B489" t="s">
        <v>13</v>
      </c>
      <c r="C489" t="s">
        <v>21</v>
      </c>
      <c r="D489">
        <v>40000</v>
      </c>
      <c r="E489">
        <v>0</v>
      </c>
      <c r="F489" s="2" t="s">
        <v>46</v>
      </c>
      <c r="G489" t="s">
        <v>15</v>
      </c>
      <c r="H489" t="s">
        <v>23</v>
      </c>
      <c r="I489" t="s">
        <v>17</v>
      </c>
      <c r="J489">
        <v>0</v>
      </c>
      <c r="K489" t="s">
        <v>43</v>
      </c>
      <c r="L489" t="s">
        <v>18</v>
      </c>
      <c r="M489" t="s">
        <v>19</v>
      </c>
      <c r="N489">
        <v>39</v>
      </c>
      <c r="O489" t="s">
        <v>20</v>
      </c>
    </row>
    <row r="490" spans="1:15" x14ac:dyDescent="0.25">
      <c r="A490">
        <v>489</v>
      </c>
      <c r="B490" t="s">
        <v>26</v>
      </c>
      <c r="C490" t="s">
        <v>14</v>
      </c>
      <c r="D490">
        <v>10000</v>
      </c>
      <c r="E490">
        <v>0</v>
      </c>
      <c r="F490" s="2" t="s">
        <v>46</v>
      </c>
      <c r="G490" t="s">
        <v>33</v>
      </c>
      <c r="H490" t="s">
        <v>29</v>
      </c>
      <c r="I490" t="s">
        <v>17</v>
      </c>
      <c r="J490">
        <v>2</v>
      </c>
      <c r="K490" t="s">
        <v>44</v>
      </c>
      <c r="L490" t="s">
        <v>30</v>
      </c>
      <c r="M490" t="s">
        <v>19</v>
      </c>
      <c r="N490">
        <v>34</v>
      </c>
      <c r="O490" t="s">
        <v>20</v>
      </c>
    </row>
    <row r="491" spans="1:15" x14ac:dyDescent="0.25">
      <c r="A491">
        <v>490</v>
      </c>
      <c r="B491" t="s">
        <v>13</v>
      </c>
      <c r="C491" t="s">
        <v>21</v>
      </c>
      <c r="D491">
        <v>20000</v>
      </c>
      <c r="E491">
        <v>0</v>
      </c>
      <c r="F491" s="2" t="s">
        <v>46</v>
      </c>
      <c r="G491" t="s">
        <v>33</v>
      </c>
      <c r="H491" t="s">
        <v>29</v>
      </c>
      <c r="I491" t="s">
        <v>17</v>
      </c>
      <c r="J491">
        <v>2</v>
      </c>
      <c r="K491" t="s">
        <v>44</v>
      </c>
      <c r="L491" t="s">
        <v>18</v>
      </c>
      <c r="M491" t="s">
        <v>19</v>
      </c>
      <c r="N491">
        <v>32</v>
      </c>
      <c r="O491" t="s">
        <v>20</v>
      </c>
    </row>
    <row r="492" spans="1:15" x14ac:dyDescent="0.25">
      <c r="A492">
        <v>491</v>
      </c>
      <c r="B492" t="s">
        <v>13</v>
      </c>
      <c r="C492" t="s">
        <v>21</v>
      </c>
      <c r="D492">
        <v>60000</v>
      </c>
      <c r="E492">
        <v>4</v>
      </c>
      <c r="F492" s="2" t="s">
        <v>45</v>
      </c>
      <c r="G492" t="s">
        <v>15</v>
      </c>
      <c r="H492" t="s">
        <v>24</v>
      </c>
      <c r="I492" t="s">
        <v>17</v>
      </c>
      <c r="J492">
        <v>0</v>
      </c>
      <c r="K492" t="s">
        <v>43</v>
      </c>
      <c r="L492" t="s">
        <v>25</v>
      </c>
      <c r="M492" t="s">
        <v>36</v>
      </c>
      <c r="N492">
        <v>46</v>
      </c>
      <c r="O492" t="s">
        <v>20</v>
      </c>
    </row>
    <row r="493" spans="1:15" x14ac:dyDescent="0.25">
      <c r="A493">
        <v>492</v>
      </c>
      <c r="B493" t="s">
        <v>13</v>
      </c>
      <c r="C493" t="s">
        <v>21</v>
      </c>
      <c r="D493">
        <v>70000</v>
      </c>
      <c r="E493">
        <v>2</v>
      </c>
      <c r="F493" s="2" t="s">
        <v>45</v>
      </c>
      <c r="G493" t="s">
        <v>33</v>
      </c>
      <c r="H493" t="s">
        <v>16</v>
      </c>
      <c r="I493" t="s">
        <v>17</v>
      </c>
      <c r="J493">
        <v>2</v>
      </c>
      <c r="K493" t="s">
        <v>44</v>
      </c>
      <c r="L493" t="s">
        <v>27</v>
      </c>
      <c r="M493" t="s">
        <v>36</v>
      </c>
      <c r="N493">
        <v>48</v>
      </c>
      <c r="O493" t="s">
        <v>20</v>
      </c>
    </row>
    <row r="494" spans="1:15" x14ac:dyDescent="0.25">
      <c r="A494">
        <v>493</v>
      </c>
      <c r="B494" t="s">
        <v>26</v>
      </c>
      <c r="C494" t="s">
        <v>14</v>
      </c>
      <c r="D494">
        <v>40000</v>
      </c>
      <c r="E494">
        <v>3</v>
      </c>
      <c r="F494" s="2" t="s">
        <v>45</v>
      </c>
      <c r="G494" t="s">
        <v>22</v>
      </c>
      <c r="H494" t="s">
        <v>23</v>
      </c>
      <c r="I494" t="s">
        <v>17</v>
      </c>
      <c r="J494">
        <v>1</v>
      </c>
      <c r="K494" t="s">
        <v>44</v>
      </c>
      <c r="L494" t="s">
        <v>30</v>
      </c>
      <c r="M494" t="s">
        <v>36</v>
      </c>
      <c r="N494">
        <v>31</v>
      </c>
      <c r="O494" t="s">
        <v>17</v>
      </c>
    </row>
    <row r="495" spans="1:15" x14ac:dyDescent="0.25">
      <c r="A495">
        <v>494</v>
      </c>
      <c r="B495" t="s">
        <v>26</v>
      </c>
      <c r="C495" t="s">
        <v>21</v>
      </c>
      <c r="D495">
        <v>70000</v>
      </c>
      <c r="E495">
        <v>5</v>
      </c>
      <c r="F495" s="2" t="s">
        <v>45</v>
      </c>
      <c r="G495" t="s">
        <v>15</v>
      </c>
      <c r="H495" t="s">
        <v>32</v>
      </c>
      <c r="I495" t="s">
        <v>17</v>
      </c>
      <c r="J495">
        <v>3</v>
      </c>
      <c r="K495" t="s">
        <v>44</v>
      </c>
      <c r="L495" t="s">
        <v>34</v>
      </c>
      <c r="M495" t="s">
        <v>36</v>
      </c>
      <c r="N495">
        <v>60</v>
      </c>
      <c r="O495" t="s">
        <v>17</v>
      </c>
    </row>
    <row r="496" spans="1:15" x14ac:dyDescent="0.25">
      <c r="A496">
        <v>495</v>
      </c>
      <c r="B496" t="s">
        <v>13</v>
      </c>
      <c r="C496" t="s">
        <v>21</v>
      </c>
      <c r="D496">
        <v>70000</v>
      </c>
      <c r="E496">
        <v>4</v>
      </c>
      <c r="F496" s="2" t="s">
        <v>45</v>
      </c>
      <c r="G496" t="s">
        <v>31</v>
      </c>
      <c r="H496" t="s">
        <v>24</v>
      </c>
      <c r="I496" t="s">
        <v>17</v>
      </c>
      <c r="J496">
        <v>0</v>
      </c>
      <c r="K496" t="s">
        <v>43</v>
      </c>
      <c r="L496" t="s">
        <v>27</v>
      </c>
      <c r="M496" t="s">
        <v>36</v>
      </c>
      <c r="N496">
        <v>51</v>
      </c>
      <c r="O496" t="s">
        <v>20</v>
      </c>
    </row>
    <row r="497" spans="1:15" x14ac:dyDescent="0.25">
      <c r="A497">
        <v>496</v>
      </c>
      <c r="B497" t="s">
        <v>13</v>
      </c>
      <c r="C497" t="s">
        <v>21</v>
      </c>
      <c r="D497">
        <v>60000</v>
      </c>
      <c r="E497">
        <v>2</v>
      </c>
      <c r="F497" s="2" t="s">
        <v>45</v>
      </c>
      <c r="G497" t="s">
        <v>22</v>
      </c>
      <c r="H497" t="s">
        <v>24</v>
      </c>
      <c r="I497" t="s">
        <v>17</v>
      </c>
      <c r="J497">
        <v>2</v>
      </c>
      <c r="K497" t="s">
        <v>44</v>
      </c>
      <c r="L497" t="s">
        <v>34</v>
      </c>
      <c r="M497" t="s">
        <v>36</v>
      </c>
      <c r="N497">
        <v>56</v>
      </c>
      <c r="O497" t="s">
        <v>20</v>
      </c>
    </row>
    <row r="498" spans="1:15" x14ac:dyDescent="0.25">
      <c r="A498">
        <v>497</v>
      </c>
      <c r="B498" t="s">
        <v>26</v>
      </c>
      <c r="C498" t="s">
        <v>14</v>
      </c>
      <c r="D498">
        <v>60000</v>
      </c>
      <c r="E498">
        <v>3</v>
      </c>
      <c r="F498" s="2" t="s">
        <v>45</v>
      </c>
      <c r="G498" t="s">
        <v>15</v>
      </c>
      <c r="H498" t="s">
        <v>16</v>
      </c>
      <c r="I498" t="s">
        <v>17</v>
      </c>
      <c r="J498">
        <v>1</v>
      </c>
      <c r="K498" t="s">
        <v>44</v>
      </c>
      <c r="L498" t="s">
        <v>25</v>
      </c>
      <c r="M498" t="s">
        <v>36</v>
      </c>
      <c r="N498">
        <v>40</v>
      </c>
      <c r="O498" t="s">
        <v>17</v>
      </c>
    </row>
    <row r="499" spans="1:15" x14ac:dyDescent="0.25">
      <c r="A499">
        <v>498</v>
      </c>
      <c r="B499" t="s">
        <v>26</v>
      </c>
      <c r="C499" t="s">
        <v>14</v>
      </c>
      <c r="D499">
        <v>70000</v>
      </c>
      <c r="E499">
        <v>1</v>
      </c>
      <c r="F499" s="2" t="s">
        <v>45</v>
      </c>
      <c r="G499" t="s">
        <v>35</v>
      </c>
      <c r="H499" t="s">
        <v>24</v>
      </c>
      <c r="I499" t="s">
        <v>17</v>
      </c>
      <c r="J499">
        <v>0</v>
      </c>
      <c r="K499" t="s">
        <v>43</v>
      </c>
      <c r="L499" t="s">
        <v>25</v>
      </c>
      <c r="M499" t="s">
        <v>36</v>
      </c>
      <c r="N499">
        <v>34</v>
      </c>
      <c r="O499" t="s">
        <v>17</v>
      </c>
    </row>
    <row r="500" spans="1:15" x14ac:dyDescent="0.25">
      <c r="A500">
        <v>499</v>
      </c>
      <c r="B500" t="s">
        <v>13</v>
      </c>
      <c r="C500" t="s">
        <v>21</v>
      </c>
      <c r="D500">
        <v>80000</v>
      </c>
      <c r="E500">
        <v>1</v>
      </c>
      <c r="F500" s="2" t="s">
        <v>45</v>
      </c>
      <c r="G500" t="s">
        <v>22</v>
      </c>
      <c r="H500" t="s">
        <v>16</v>
      </c>
      <c r="I500" t="s">
        <v>17</v>
      </c>
      <c r="J500">
        <v>1</v>
      </c>
      <c r="K500" t="s">
        <v>44</v>
      </c>
      <c r="L500" t="s">
        <v>25</v>
      </c>
      <c r="M500" t="s">
        <v>36</v>
      </c>
      <c r="N500">
        <v>48</v>
      </c>
      <c r="O500" t="s">
        <v>17</v>
      </c>
    </row>
    <row r="501" spans="1:15" x14ac:dyDescent="0.25">
      <c r="A501">
        <v>500</v>
      </c>
      <c r="B501" t="s">
        <v>26</v>
      </c>
      <c r="C501" t="s">
        <v>14</v>
      </c>
      <c r="D501">
        <v>40000</v>
      </c>
      <c r="E501">
        <v>0</v>
      </c>
      <c r="F501" s="2" t="s">
        <v>46</v>
      </c>
      <c r="G501" t="s">
        <v>31</v>
      </c>
      <c r="H501" t="s">
        <v>16</v>
      </c>
      <c r="I501" t="s">
        <v>20</v>
      </c>
      <c r="J501">
        <v>2</v>
      </c>
      <c r="K501" t="s">
        <v>44</v>
      </c>
      <c r="L501" t="s">
        <v>30</v>
      </c>
      <c r="M501" t="s">
        <v>36</v>
      </c>
      <c r="N501">
        <v>31</v>
      </c>
      <c r="O501" t="s">
        <v>17</v>
      </c>
    </row>
    <row r="502" spans="1:15" x14ac:dyDescent="0.25">
      <c r="A502">
        <v>501</v>
      </c>
      <c r="B502" t="s">
        <v>13</v>
      </c>
      <c r="C502" t="s">
        <v>21</v>
      </c>
      <c r="D502">
        <v>60000</v>
      </c>
      <c r="E502">
        <v>5</v>
      </c>
      <c r="F502" s="2" t="s">
        <v>45</v>
      </c>
      <c r="G502" t="s">
        <v>15</v>
      </c>
      <c r="H502" t="s">
        <v>24</v>
      </c>
      <c r="I502" t="s">
        <v>17</v>
      </c>
      <c r="J502">
        <v>1</v>
      </c>
      <c r="K502" t="s">
        <v>44</v>
      </c>
      <c r="L502" t="s">
        <v>25</v>
      </c>
      <c r="M502" t="s">
        <v>36</v>
      </c>
      <c r="N502">
        <v>47</v>
      </c>
      <c r="O502" t="s">
        <v>20</v>
      </c>
    </row>
    <row r="503" spans="1:15" x14ac:dyDescent="0.25">
      <c r="A503">
        <v>502</v>
      </c>
      <c r="B503" t="s">
        <v>13</v>
      </c>
      <c r="C503" t="s">
        <v>14</v>
      </c>
      <c r="D503">
        <v>50000</v>
      </c>
      <c r="E503">
        <v>0</v>
      </c>
      <c r="F503" s="2" t="s">
        <v>46</v>
      </c>
      <c r="G503" t="s">
        <v>35</v>
      </c>
      <c r="H503" t="s">
        <v>16</v>
      </c>
      <c r="I503" t="s">
        <v>17</v>
      </c>
      <c r="J503">
        <v>0</v>
      </c>
      <c r="K503" t="s">
        <v>43</v>
      </c>
      <c r="L503" t="s">
        <v>18</v>
      </c>
      <c r="M503" t="s">
        <v>36</v>
      </c>
      <c r="N503">
        <v>34</v>
      </c>
      <c r="O503" t="s">
        <v>20</v>
      </c>
    </row>
    <row r="504" spans="1:15" x14ac:dyDescent="0.25">
      <c r="A504">
        <v>503</v>
      </c>
      <c r="B504" t="s">
        <v>13</v>
      </c>
      <c r="C504" t="s">
        <v>21</v>
      </c>
      <c r="D504">
        <v>40000</v>
      </c>
      <c r="E504">
        <v>0</v>
      </c>
      <c r="F504" s="2" t="s">
        <v>46</v>
      </c>
      <c r="G504" t="s">
        <v>22</v>
      </c>
      <c r="H504" t="s">
        <v>16</v>
      </c>
      <c r="I504" t="s">
        <v>17</v>
      </c>
      <c r="J504">
        <v>1</v>
      </c>
      <c r="K504" t="s">
        <v>44</v>
      </c>
      <c r="L504" t="s">
        <v>27</v>
      </c>
      <c r="M504" t="s">
        <v>36</v>
      </c>
      <c r="N504">
        <v>29</v>
      </c>
      <c r="O504" t="s">
        <v>20</v>
      </c>
    </row>
    <row r="505" spans="1:15" x14ac:dyDescent="0.25">
      <c r="A505">
        <v>504</v>
      </c>
      <c r="B505" t="s">
        <v>13</v>
      </c>
      <c r="C505" t="s">
        <v>14</v>
      </c>
      <c r="D505">
        <v>130000</v>
      </c>
      <c r="E505">
        <v>1</v>
      </c>
      <c r="F505" s="2" t="s">
        <v>45</v>
      </c>
      <c r="G505" t="s">
        <v>15</v>
      </c>
      <c r="H505" t="s">
        <v>32</v>
      </c>
      <c r="I505" t="s">
        <v>17</v>
      </c>
      <c r="J505">
        <v>4</v>
      </c>
      <c r="K505" t="s">
        <v>44</v>
      </c>
      <c r="L505" t="s">
        <v>25</v>
      </c>
      <c r="M505" t="s">
        <v>36</v>
      </c>
      <c r="N505">
        <v>44</v>
      </c>
      <c r="O505" t="s">
        <v>17</v>
      </c>
    </row>
    <row r="506" spans="1:15" x14ac:dyDescent="0.25">
      <c r="A506">
        <v>505</v>
      </c>
      <c r="B506" t="s">
        <v>13</v>
      </c>
      <c r="C506" t="s">
        <v>21</v>
      </c>
      <c r="D506">
        <v>70000</v>
      </c>
      <c r="E506">
        <v>2</v>
      </c>
      <c r="F506" s="2" t="s">
        <v>45</v>
      </c>
      <c r="G506" t="s">
        <v>15</v>
      </c>
      <c r="H506" t="s">
        <v>16</v>
      </c>
      <c r="I506" t="s">
        <v>17</v>
      </c>
      <c r="J506">
        <v>1</v>
      </c>
      <c r="K506" t="s">
        <v>44</v>
      </c>
      <c r="L506" t="s">
        <v>25</v>
      </c>
      <c r="M506" t="s">
        <v>36</v>
      </c>
      <c r="N506">
        <v>38</v>
      </c>
      <c r="O506" t="s">
        <v>17</v>
      </c>
    </row>
    <row r="507" spans="1:15" x14ac:dyDescent="0.25">
      <c r="A507">
        <v>506</v>
      </c>
      <c r="B507" t="s">
        <v>13</v>
      </c>
      <c r="C507" t="s">
        <v>21</v>
      </c>
      <c r="D507">
        <v>100000</v>
      </c>
      <c r="E507">
        <v>4</v>
      </c>
      <c r="F507" s="2" t="s">
        <v>45</v>
      </c>
      <c r="G507" t="s">
        <v>22</v>
      </c>
      <c r="H507" t="s">
        <v>24</v>
      </c>
      <c r="I507" t="s">
        <v>17</v>
      </c>
      <c r="J507">
        <v>4</v>
      </c>
      <c r="K507" t="s">
        <v>44</v>
      </c>
      <c r="L507" t="s">
        <v>18</v>
      </c>
      <c r="M507" t="s">
        <v>36</v>
      </c>
      <c r="N507">
        <v>40</v>
      </c>
      <c r="O507" t="s">
        <v>20</v>
      </c>
    </row>
    <row r="508" spans="1:15" x14ac:dyDescent="0.25">
      <c r="A508">
        <v>507</v>
      </c>
      <c r="B508" t="s">
        <v>13</v>
      </c>
      <c r="C508" t="s">
        <v>14</v>
      </c>
      <c r="D508">
        <v>70000</v>
      </c>
      <c r="E508">
        <v>4</v>
      </c>
      <c r="F508" s="2" t="s">
        <v>45</v>
      </c>
      <c r="G508" t="s">
        <v>15</v>
      </c>
      <c r="H508" t="s">
        <v>24</v>
      </c>
      <c r="I508" t="s">
        <v>17</v>
      </c>
      <c r="J508">
        <v>2</v>
      </c>
      <c r="K508" t="s">
        <v>44</v>
      </c>
      <c r="L508" t="s">
        <v>25</v>
      </c>
      <c r="M508" t="s">
        <v>36</v>
      </c>
      <c r="N508">
        <v>42</v>
      </c>
      <c r="O508" t="s">
        <v>17</v>
      </c>
    </row>
    <row r="509" spans="1:15" x14ac:dyDescent="0.25">
      <c r="A509">
        <v>508</v>
      </c>
      <c r="B509" t="s">
        <v>13</v>
      </c>
      <c r="C509" t="s">
        <v>14</v>
      </c>
      <c r="D509">
        <v>40000</v>
      </c>
      <c r="E509">
        <v>1</v>
      </c>
      <c r="F509" s="2" t="s">
        <v>45</v>
      </c>
      <c r="G509" t="s">
        <v>22</v>
      </c>
      <c r="H509" t="s">
        <v>23</v>
      </c>
      <c r="I509" t="s">
        <v>17</v>
      </c>
      <c r="J509">
        <v>1</v>
      </c>
      <c r="K509" t="s">
        <v>44</v>
      </c>
      <c r="L509" t="s">
        <v>30</v>
      </c>
      <c r="M509" t="s">
        <v>36</v>
      </c>
      <c r="N509">
        <v>51</v>
      </c>
      <c r="O509" t="s">
        <v>17</v>
      </c>
    </row>
    <row r="510" spans="1:15" x14ac:dyDescent="0.25">
      <c r="A510">
        <v>509</v>
      </c>
      <c r="B510" t="s">
        <v>13</v>
      </c>
      <c r="C510" t="s">
        <v>21</v>
      </c>
      <c r="D510">
        <v>60000</v>
      </c>
      <c r="E510">
        <v>0</v>
      </c>
      <c r="F510" s="2" t="s">
        <v>46</v>
      </c>
      <c r="G510" t="s">
        <v>22</v>
      </c>
      <c r="H510" t="s">
        <v>16</v>
      </c>
      <c r="I510" t="s">
        <v>20</v>
      </c>
      <c r="J510">
        <v>2</v>
      </c>
      <c r="K510" t="s">
        <v>44</v>
      </c>
      <c r="L510" t="s">
        <v>30</v>
      </c>
      <c r="M510" t="s">
        <v>36</v>
      </c>
      <c r="N510">
        <v>29</v>
      </c>
      <c r="O510" t="s">
        <v>20</v>
      </c>
    </row>
    <row r="511" spans="1:15" x14ac:dyDescent="0.25">
      <c r="A511">
        <v>510</v>
      </c>
      <c r="B511" t="s">
        <v>13</v>
      </c>
      <c r="C511" t="s">
        <v>21</v>
      </c>
      <c r="D511">
        <v>80000</v>
      </c>
      <c r="E511">
        <v>3</v>
      </c>
      <c r="F511" s="2" t="s">
        <v>45</v>
      </c>
      <c r="G511" t="s">
        <v>15</v>
      </c>
      <c r="H511" t="s">
        <v>24</v>
      </c>
      <c r="I511" t="s">
        <v>17</v>
      </c>
      <c r="J511">
        <v>1</v>
      </c>
      <c r="K511" t="s">
        <v>44</v>
      </c>
      <c r="L511" t="s">
        <v>25</v>
      </c>
      <c r="M511" t="s">
        <v>36</v>
      </c>
      <c r="N511">
        <v>48</v>
      </c>
      <c r="O511" t="s">
        <v>17</v>
      </c>
    </row>
    <row r="512" spans="1:15" x14ac:dyDescent="0.25">
      <c r="A512">
        <v>511</v>
      </c>
      <c r="B512" t="s">
        <v>26</v>
      </c>
      <c r="C512" t="s">
        <v>21</v>
      </c>
      <c r="D512">
        <v>70000</v>
      </c>
      <c r="E512">
        <v>0</v>
      </c>
      <c r="F512" s="2" t="s">
        <v>46</v>
      </c>
      <c r="G512" t="s">
        <v>15</v>
      </c>
      <c r="H512" t="s">
        <v>24</v>
      </c>
      <c r="I512" t="s">
        <v>20</v>
      </c>
      <c r="J512">
        <v>1</v>
      </c>
      <c r="K512" t="s">
        <v>44</v>
      </c>
      <c r="L512" t="s">
        <v>25</v>
      </c>
      <c r="M512" t="s">
        <v>36</v>
      </c>
      <c r="N512">
        <v>37</v>
      </c>
      <c r="O512" t="s">
        <v>17</v>
      </c>
    </row>
    <row r="513" spans="1:15" x14ac:dyDescent="0.25">
      <c r="A513">
        <v>512</v>
      </c>
      <c r="B513" t="s">
        <v>26</v>
      </c>
      <c r="C513" t="s">
        <v>21</v>
      </c>
      <c r="D513">
        <v>80000</v>
      </c>
      <c r="E513">
        <v>4</v>
      </c>
      <c r="F513" s="2" t="s">
        <v>45</v>
      </c>
      <c r="G513" t="s">
        <v>15</v>
      </c>
      <c r="H513" t="s">
        <v>32</v>
      </c>
      <c r="I513" t="s">
        <v>17</v>
      </c>
      <c r="J513">
        <v>0</v>
      </c>
      <c r="K513" t="s">
        <v>43</v>
      </c>
      <c r="L513" t="s">
        <v>27</v>
      </c>
      <c r="M513" t="s">
        <v>36</v>
      </c>
      <c r="N513">
        <v>66</v>
      </c>
      <c r="O513" t="s">
        <v>17</v>
      </c>
    </row>
    <row r="514" spans="1:15" x14ac:dyDescent="0.25">
      <c r="A514">
        <v>513</v>
      </c>
      <c r="B514" t="s">
        <v>13</v>
      </c>
      <c r="C514" t="s">
        <v>14</v>
      </c>
      <c r="D514">
        <v>60000</v>
      </c>
      <c r="E514">
        <v>1</v>
      </c>
      <c r="F514" s="2" t="s">
        <v>45</v>
      </c>
      <c r="G514" t="s">
        <v>22</v>
      </c>
      <c r="H514" t="s">
        <v>16</v>
      </c>
      <c r="I514" t="s">
        <v>17</v>
      </c>
      <c r="J514">
        <v>1</v>
      </c>
      <c r="K514" t="s">
        <v>44</v>
      </c>
      <c r="L514" t="s">
        <v>18</v>
      </c>
      <c r="M514" t="s">
        <v>36</v>
      </c>
      <c r="N514">
        <v>45</v>
      </c>
      <c r="O514" t="s">
        <v>17</v>
      </c>
    </row>
    <row r="515" spans="1:15" x14ac:dyDescent="0.25">
      <c r="A515">
        <v>514</v>
      </c>
      <c r="B515" t="s">
        <v>26</v>
      </c>
      <c r="C515" t="s">
        <v>14</v>
      </c>
      <c r="D515">
        <v>60000</v>
      </c>
      <c r="E515">
        <v>4</v>
      </c>
      <c r="F515" s="2" t="s">
        <v>45</v>
      </c>
      <c r="G515" t="s">
        <v>35</v>
      </c>
      <c r="H515" t="s">
        <v>32</v>
      </c>
      <c r="I515" t="s">
        <v>17</v>
      </c>
      <c r="J515">
        <v>2</v>
      </c>
      <c r="K515" t="s">
        <v>44</v>
      </c>
      <c r="L515" t="s">
        <v>34</v>
      </c>
      <c r="M515" t="s">
        <v>36</v>
      </c>
      <c r="N515">
        <v>61</v>
      </c>
      <c r="O515" t="s">
        <v>17</v>
      </c>
    </row>
    <row r="516" spans="1:15" x14ac:dyDescent="0.25">
      <c r="A516">
        <v>515</v>
      </c>
      <c r="B516" t="s">
        <v>26</v>
      </c>
      <c r="C516" t="s">
        <v>21</v>
      </c>
      <c r="D516">
        <v>40000</v>
      </c>
      <c r="E516">
        <v>0</v>
      </c>
      <c r="F516" s="2" t="s">
        <v>46</v>
      </c>
      <c r="G516" t="s">
        <v>15</v>
      </c>
      <c r="H516" t="s">
        <v>24</v>
      </c>
      <c r="I516" t="s">
        <v>20</v>
      </c>
      <c r="J516">
        <v>1</v>
      </c>
      <c r="K516" t="s">
        <v>44</v>
      </c>
      <c r="L516" t="s">
        <v>25</v>
      </c>
      <c r="M516" t="s">
        <v>36</v>
      </c>
      <c r="N516">
        <v>45</v>
      </c>
      <c r="O516" t="s">
        <v>20</v>
      </c>
    </row>
    <row r="517" spans="1:15" x14ac:dyDescent="0.25">
      <c r="A517">
        <v>516</v>
      </c>
      <c r="B517" t="s">
        <v>13</v>
      </c>
      <c r="C517" t="s">
        <v>14</v>
      </c>
      <c r="D517">
        <v>70000</v>
      </c>
      <c r="E517">
        <v>5</v>
      </c>
      <c r="F517" s="2" t="s">
        <v>45</v>
      </c>
      <c r="G517" t="s">
        <v>15</v>
      </c>
      <c r="H517" t="s">
        <v>24</v>
      </c>
      <c r="I517" t="s">
        <v>17</v>
      </c>
      <c r="J517">
        <v>2</v>
      </c>
      <c r="K517" t="s">
        <v>44</v>
      </c>
      <c r="L517" t="s">
        <v>25</v>
      </c>
      <c r="M517" t="s">
        <v>36</v>
      </c>
      <c r="N517">
        <v>47</v>
      </c>
      <c r="O517" t="s">
        <v>20</v>
      </c>
    </row>
    <row r="518" spans="1:15" x14ac:dyDescent="0.25">
      <c r="A518">
        <v>517</v>
      </c>
      <c r="B518" t="s">
        <v>13</v>
      </c>
      <c r="C518" t="s">
        <v>14</v>
      </c>
      <c r="D518">
        <v>60000</v>
      </c>
      <c r="E518">
        <v>2</v>
      </c>
      <c r="F518" s="2" t="s">
        <v>45</v>
      </c>
      <c r="G518" t="s">
        <v>31</v>
      </c>
      <c r="H518" t="s">
        <v>24</v>
      </c>
      <c r="I518" t="s">
        <v>17</v>
      </c>
      <c r="J518">
        <v>2</v>
      </c>
      <c r="K518" t="s">
        <v>44</v>
      </c>
      <c r="L518" t="s">
        <v>27</v>
      </c>
      <c r="M518" t="s">
        <v>36</v>
      </c>
      <c r="N518">
        <v>49</v>
      </c>
      <c r="O518" t="s">
        <v>20</v>
      </c>
    </row>
    <row r="519" spans="1:15" x14ac:dyDescent="0.25">
      <c r="A519">
        <v>518</v>
      </c>
      <c r="B519" t="s">
        <v>26</v>
      </c>
      <c r="C519" t="s">
        <v>21</v>
      </c>
      <c r="D519">
        <v>60000</v>
      </c>
      <c r="E519">
        <v>3</v>
      </c>
      <c r="F519" s="2" t="s">
        <v>45</v>
      </c>
      <c r="G519" t="s">
        <v>15</v>
      </c>
      <c r="H519" t="s">
        <v>24</v>
      </c>
      <c r="I519" t="s">
        <v>20</v>
      </c>
      <c r="J519">
        <v>0</v>
      </c>
      <c r="K519" t="s">
        <v>43</v>
      </c>
      <c r="L519" t="s">
        <v>18</v>
      </c>
      <c r="M519" t="s">
        <v>36</v>
      </c>
      <c r="N519">
        <v>47</v>
      </c>
      <c r="O519" t="s">
        <v>17</v>
      </c>
    </row>
    <row r="520" spans="1:15" x14ac:dyDescent="0.25">
      <c r="A520">
        <v>519</v>
      </c>
      <c r="B520" t="s">
        <v>13</v>
      </c>
      <c r="C520" t="s">
        <v>14</v>
      </c>
      <c r="D520">
        <v>80000</v>
      </c>
      <c r="E520">
        <v>0</v>
      </c>
      <c r="F520" s="2" t="s">
        <v>46</v>
      </c>
      <c r="G520" t="s">
        <v>15</v>
      </c>
      <c r="H520" t="s">
        <v>32</v>
      </c>
      <c r="I520" t="s">
        <v>17</v>
      </c>
      <c r="J520">
        <v>1</v>
      </c>
      <c r="K520" t="s">
        <v>44</v>
      </c>
      <c r="L520" t="s">
        <v>30</v>
      </c>
      <c r="M520" t="s">
        <v>36</v>
      </c>
      <c r="N520">
        <v>34</v>
      </c>
      <c r="O520" t="s">
        <v>17</v>
      </c>
    </row>
    <row r="521" spans="1:15" x14ac:dyDescent="0.25">
      <c r="A521">
        <v>520</v>
      </c>
      <c r="B521" t="s">
        <v>13</v>
      </c>
      <c r="C521" t="s">
        <v>21</v>
      </c>
      <c r="D521">
        <v>80000</v>
      </c>
      <c r="E521">
        <v>5</v>
      </c>
      <c r="F521" s="2" t="s">
        <v>45</v>
      </c>
      <c r="G521" t="s">
        <v>15</v>
      </c>
      <c r="H521" t="s">
        <v>32</v>
      </c>
      <c r="I521" t="s">
        <v>17</v>
      </c>
      <c r="J521">
        <v>2</v>
      </c>
      <c r="K521" t="s">
        <v>44</v>
      </c>
      <c r="L521" t="s">
        <v>30</v>
      </c>
      <c r="M521" t="s">
        <v>36</v>
      </c>
      <c r="N521">
        <v>64</v>
      </c>
      <c r="O521" t="s">
        <v>20</v>
      </c>
    </row>
    <row r="522" spans="1:15" x14ac:dyDescent="0.25">
      <c r="A522">
        <v>521</v>
      </c>
      <c r="B522" t="s">
        <v>26</v>
      </c>
      <c r="C522" t="s">
        <v>21</v>
      </c>
      <c r="D522">
        <v>100000</v>
      </c>
      <c r="E522">
        <v>1</v>
      </c>
      <c r="F522" s="2" t="s">
        <v>45</v>
      </c>
      <c r="G522" t="s">
        <v>22</v>
      </c>
      <c r="H522" t="s">
        <v>24</v>
      </c>
      <c r="I522" t="s">
        <v>20</v>
      </c>
      <c r="J522">
        <v>3</v>
      </c>
      <c r="K522" t="s">
        <v>44</v>
      </c>
      <c r="L522" t="s">
        <v>30</v>
      </c>
      <c r="M522" t="s">
        <v>36</v>
      </c>
      <c r="N522">
        <v>44</v>
      </c>
      <c r="O522" t="s">
        <v>20</v>
      </c>
    </row>
    <row r="523" spans="1:15" x14ac:dyDescent="0.25">
      <c r="A523">
        <v>522</v>
      </c>
      <c r="B523" t="s">
        <v>26</v>
      </c>
      <c r="C523" t="s">
        <v>21</v>
      </c>
      <c r="D523">
        <v>40000</v>
      </c>
      <c r="E523">
        <v>4</v>
      </c>
      <c r="F523" s="2" t="s">
        <v>45</v>
      </c>
      <c r="G523" t="s">
        <v>31</v>
      </c>
      <c r="H523" t="s">
        <v>24</v>
      </c>
      <c r="I523" t="s">
        <v>17</v>
      </c>
      <c r="J523">
        <v>2</v>
      </c>
      <c r="K523" t="s">
        <v>44</v>
      </c>
      <c r="L523" t="s">
        <v>34</v>
      </c>
      <c r="M523" t="s">
        <v>36</v>
      </c>
      <c r="N523">
        <v>62</v>
      </c>
      <c r="O523" t="s">
        <v>17</v>
      </c>
    </row>
    <row r="524" spans="1:15" x14ac:dyDescent="0.25">
      <c r="A524">
        <v>523</v>
      </c>
      <c r="B524" t="s">
        <v>26</v>
      </c>
      <c r="C524" t="s">
        <v>21</v>
      </c>
      <c r="D524">
        <v>60000</v>
      </c>
      <c r="E524">
        <v>3</v>
      </c>
      <c r="F524" s="2" t="s">
        <v>45</v>
      </c>
      <c r="G524" t="s">
        <v>15</v>
      </c>
      <c r="H524" t="s">
        <v>24</v>
      </c>
      <c r="I524" t="s">
        <v>20</v>
      </c>
      <c r="J524">
        <v>1</v>
      </c>
      <c r="K524" t="s">
        <v>44</v>
      </c>
      <c r="L524" t="s">
        <v>18</v>
      </c>
      <c r="M524" t="s">
        <v>36</v>
      </c>
      <c r="N524">
        <v>47</v>
      </c>
      <c r="O524" t="s">
        <v>17</v>
      </c>
    </row>
    <row r="525" spans="1:15" x14ac:dyDescent="0.25">
      <c r="A525">
        <v>524</v>
      </c>
      <c r="B525" t="s">
        <v>13</v>
      </c>
      <c r="C525" t="s">
        <v>21</v>
      </c>
      <c r="D525">
        <v>80000</v>
      </c>
      <c r="E525">
        <v>3</v>
      </c>
      <c r="F525" s="2" t="s">
        <v>45</v>
      </c>
      <c r="G525" t="s">
        <v>22</v>
      </c>
      <c r="H525" t="s">
        <v>24</v>
      </c>
      <c r="I525" t="s">
        <v>20</v>
      </c>
      <c r="J525">
        <v>2</v>
      </c>
      <c r="K525" t="s">
        <v>44</v>
      </c>
      <c r="L525" t="s">
        <v>18</v>
      </c>
      <c r="M525" t="s">
        <v>36</v>
      </c>
      <c r="N525">
        <v>49</v>
      </c>
      <c r="O525" t="s">
        <v>17</v>
      </c>
    </row>
    <row r="526" spans="1:15" x14ac:dyDescent="0.25">
      <c r="A526">
        <v>525</v>
      </c>
      <c r="B526" t="s">
        <v>26</v>
      </c>
      <c r="C526" t="s">
        <v>14</v>
      </c>
      <c r="D526">
        <v>80000</v>
      </c>
      <c r="E526">
        <v>4</v>
      </c>
      <c r="F526" s="2" t="s">
        <v>45</v>
      </c>
      <c r="G526" t="s">
        <v>35</v>
      </c>
      <c r="H526" t="s">
        <v>32</v>
      </c>
      <c r="I526" t="s">
        <v>17</v>
      </c>
      <c r="J526">
        <v>2</v>
      </c>
      <c r="K526" t="s">
        <v>44</v>
      </c>
      <c r="L526" t="s">
        <v>27</v>
      </c>
      <c r="M526" t="s">
        <v>36</v>
      </c>
      <c r="N526">
        <v>67</v>
      </c>
      <c r="O526" t="s">
        <v>20</v>
      </c>
    </row>
    <row r="527" spans="1:15" x14ac:dyDescent="0.25">
      <c r="A527">
        <v>526</v>
      </c>
      <c r="B527" t="s">
        <v>26</v>
      </c>
      <c r="C527" t="s">
        <v>21</v>
      </c>
      <c r="D527">
        <v>60000</v>
      </c>
      <c r="E527">
        <v>5</v>
      </c>
      <c r="F527" s="2" t="s">
        <v>45</v>
      </c>
      <c r="G527" t="s">
        <v>15</v>
      </c>
      <c r="H527" t="s">
        <v>32</v>
      </c>
      <c r="I527" t="s">
        <v>17</v>
      </c>
      <c r="J527">
        <v>3</v>
      </c>
      <c r="K527" t="s">
        <v>44</v>
      </c>
      <c r="L527" t="s">
        <v>34</v>
      </c>
      <c r="M527" t="s">
        <v>36</v>
      </c>
      <c r="N527">
        <v>59</v>
      </c>
      <c r="O527" t="s">
        <v>17</v>
      </c>
    </row>
    <row r="528" spans="1:15" x14ac:dyDescent="0.25">
      <c r="A528">
        <v>527</v>
      </c>
      <c r="B528" t="s">
        <v>13</v>
      </c>
      <c r="C528" t="s">
        <v>14</v>
      </c>
      <c r="D528">
        <v>110000</v>
      </c>
      <c r="E528">
        <v>1</v>
      </c>
      <c r="F528" s="2" t="s">
        <v>45</v>
      </c>
      <c r="G528" t="s">
        <v>15</v>
      </c>
      <c r="H528" t="s">
        <v>32</v>
      </c>
      <c r="I528" t="s">
        <v>17</v>
      </c>
      <c r="J528">
        <v>2</v>
      </c>
      <c r="K528" t="s">
        <v>44</v>
      </c>
      <c r="L528" t="s">
        <v>30</v>
      </c>
      <c r="M528" t="s">
        <v>36</v>
      </c>
      <c r="N528">
        <v>44</v>
      </c>
      <c r="O528" t="s">
        <v>20</v>
      </c>
    </row>
    <row r="529" spans="1:15" x14ac:dyDescent="0.25">
      <c r="A529">
        <v>528</v>
      </c>
      <c r="B529" t="s">
        <v>13</v>
      </c>
      <c r="C529" t="s">
        <v>21</v>
      </c>
      <c r="D529">
        <v>50000</v>
      </c>
      <c r="E529">
        <v>1</v>
      </c>
      <c r="F529" s="2" t="s">
        <v>45</v>
      </c>
      <c r="G529" t="s">
        <v>15</v>
      </c>
      <c r="H529" t="s">
        <v>16</v>
      </c>
      <c r="I529" t="s">
        <v>17</v>
      </c>
      <c r="J529">
        <v>0</v>
      </c>
      <c r="K529" t="s">
        <v>43</v>
      </c>
      <c r="L529" t="s">
        <v>18</v>
      </c>
      <c r="M529" t="s">
        <v>36</v>
      </c>
      <c r="N529">
        <v>36</v>
      </c>
      <c r="O529" t="s">
        <v>20</v>
      </c>
    </row>
    <row r="530" spans="1:15" x14ac:dyDescent="0.25">
      <c r="A530">
        <v>529</v>
      </c>
      <c r="B530" t="s">
        <v>26</v>
      </c>
      <c r="C530" t="s">
        <v>14</v>
      </c>
      <c r="D530">
        <v>30000</v>
      </c>
      <c r="E530">
        <v>0</v>
      </c>
      <c r="F530" s="2" t="s">
        <v>46</v>
      </c>
      <c r="G530" t="s">
        <v>22</v>
      </c>
      <c r="H530" t="s">
        <v>16</v>
      </c>
      <c r="I530" t="s">
        <v>17</v>
      </c>
      <c r="J530">
        <v>1</v>
      </c>
      <c r="K530" t="s">
        <v>44</v>
      </c>
      <c r="L530" t="s">
        <v>27</v>
      </c>
      <c r="M530" t="s">
        <v>36</v>
      </c>
      <c r="N530">
        <v>28</v>
      </c>
      <c r="O530" t="s">
        <v>20</v>
      </c>
    </row>
    <row r="531" spans="1:15" x14ac:dyDescent="0.25">
      <c r="A531">
        <v>530</v>
      </c>
      <c r="B531" t="s">
        <v>13</v>
      </c>
      <c r="C531" t="s">
        <v>21</v>
      </c>
      <c r="D531">
        <v>60000</v>
      </c>
      <c r="E531">
        <v>2</v>
      </c>
      <c r="F531" s="2" t="s">
        <v>45</v>
      </c>
      <c r="G531" t="s">
        <v>22</v>
      </c>
      <c r="H531" t="s">
        <v>24</v>
      </c>
      <c r="I531" t="s">
        <v>17</v>
      </c>
      <c r="J531">
        <v>1</v>
      </c>
      <c r="K531" t="s">
        <v>44</v>
      </c>
      <c r="L531" t="s">
        <v>34</v>
      </c>
      <c r="M531" t="s">
        <v>36</v>
      </c>
      <c r="N531">
        <v>57</v>
      </c>
      <c r="O531" t="s">
        <v>17</v>
      </c>
    </row>
    <row r="532" spans="1:15" x14ac:dyDescent="0.25">
      <c r="A532">
        <v>531</v>
      </c>
      <c r="B532" t="s">
        <v>13</v>
      </c>
      <c r="C532" t="s">
        <v>21</v>
      </c>
      <c r="D532">
        <v>60000</v>
      </c>
      <c r="E532">
        <v>0</v>
      </c>
      <c r="F532" s="2" t="s">
        <v>46</v>
      </c>
      <c r="G532" t="s">
        <v>22</v>
      </c>
      <c r="H532" t="s">
        <v>16</v>
      </c>
      <c r="I532" t="s">
        <v>17</v>
      </c>
      <c r="J532">
        <v>1</v>
      </c>
      <c r="K532" t="s">
        <v>44</v>
      </c>
      <c r="L532" t="s">
        <v>27</v>
      </c>
      <c r="M532" t="s">
        <v>36</v>
      </c>
      <c r="N532">
        <v>27</v>
      </c>
      <c r="O532" t="s">
        <v>17</v>
      </c>
    </row>
    <row r="533" spans="1:15" x14ac:dyDescent="0.25">
      <c r="A533">
        <v>532</v>
      </c>
      <c r="B533" t="s">
        <v>26</v>
      </c>
      <c r="C533" t="s">
        <v>21</v>
      </c>
      <c r="D533">
        <v>30000</v>
      </c>
      <c r="E533">
        <v>0</v>
      </c>
      <c r="F533" s="2" t="s">
        <v>46</v>
      </c>
      <c r="G533" t="s">
        <v>33</v>
      </c>
      <c r="H533" t="s">
        <v>23</v>
      </c>
      <c r="I533" t="s">
        <v>17</v>
      </c>
      <c r="J533">
        <v>2</v>
      </c>
      <c r="K533" t="s">
        <v>44</v>
      </c>
      <c r="L533" t="s">
        <v>27</v>
      </c>
      <c r="M533" t="s">
        <v>36</v>
      </c>
      <c r="N533">
        <v>28</v>
      </c>
      <c r="O533" t="s">
        <v>20</v>
      </c>
    </row>
    <row r="534" spans="1:15" x14ac:dyDescent="0.25">
      <c r="A534">
        <v>533</v>
      </c>
      <c r="B534" t="s">
        <v>26</v>
      </c>
      <c r="C534" t="s">
        <v>14</v>
      </c>
      <c r="D534">
        <v>60000</v>
      </c>
      <c r="E534">
        <v>1</v>
      </c>
      <c r="F534" s="2" t="s">
        <v>45</v>
      </c>
      <c r="G534" t="s">
        <v>15</v>
      </c>
      <c r="H534" t="s">
        <v>24</v>
      </c>
      <c r="I534" t="s">
        <v>20</v>
      </c>
      <c r="J534">
        <v>1</v>
      </c>
      <c r="K534" t="s">
        <v>44</v>
      </c>
      <c r="L534" t="s">
        <v>18</v>
      </c>
      <c r="M534" t="s">
        <v>36</v>
      </c>
      <c r="N534">
        <v>44</v>
      </c>
      <c r="O534" t="s">
        <v>17</v>
      </c>
    </row>
    <row r="535" spans="1:15" x14ac:dyDescent="0.25">
      <c r="A535">
        <v>534</v>
      </c>
      <c r="B535" t="s">
        <v>13</v>
      </c>
      <c r="C535" t="s">
        <v>21</v>
      </c>
      <c r="D535">
        <v>60000</v>
      </c>
      <c r="E535">
        <v>3</v>
      </c>
      <c r="F535" s="2" t="s">
        <v>45</v>
      </c>
      <c r="G535" t="s">
        <v>15</v>
      </c>
      <c r="H535" t="s">
        <v>32</v>
      </c>
      <c r="I535" t="s">
        <v>17</v>
      </c>
      <c r="J535">
        <v>2</v>
      </c>
      <c r="K535" t="s">
        <v>44</v>
      </c>
      <c r="L535" t="s">
        <v>34</v>
      </c>
      <c r="M535" t="s">
        <v>36</v>
      </c>
      <c r="N535">
        <v>66</v>
      </c>
      <c r="O535" t="s">
        <v>20</v>
      </c>
    </row>
    <row r="536" spans="1:15" x14ac:dyDescent="0.25">
      <c r="A536">
        <v>535</v>
      </c>
      <c r="B536" t="s">
        <v>13</v>
      </c>
      <c r="C536" t="s">
        <v>21</v>
      </c>
      <c r="D536">
        <v>40000</v>
      </c>
      <c r="E536">
        <v>4</v>
      </c>
      <c r="F536" s="2" t="s">
        <v>45</v>
      </c>
      <c r="G536" t="s">
        <v>31</v>
      </c>
      <c r="H536" t="s">
        <v>24</v>
      </c>
      <c r="I536" t="s">
        <v>17</v>
      </c>
      <c r="J536">
        <v>2</v>
      </c>
      <c r="K536" t="s">
        <v>44</v>
      </c>
      <c r="L536" t="s">
        <v>34</v>
      </c>
      <c r="M536" t="s">
        <v>36</v>
      </c>
      <c r="N536">
        <v>64</v>
      </c>
      <c r="O536" t="s">
        <v>20</v>
      </c>
    </row>
    <row r="537" spans="1:15" x14ac:dyDescent="0.25">
      <c r="A537">
        <v>536</v>
      </c>
      <c r="B537" t="s">
        <v>13</v>
      </c>
      <c r="C537" t="s">
        <v>21</v>
      </c>
      <c r="D537">
        <v>50000</v>
      </c>
      <c r="E537">
        <v>3</v>
      </c>
      <c r="F537" s="2" t="s">
        <v>45</v>
      </c>
      <c r="G537" t="s">
        <v>15</v>
      </c>
      <c r="H537" t="s">
        <v>16</v>
      </c>
      <c r="I537" t="s">
        <v>17</v>
      </c>
      <c r="J537">
        <v>3</v>
      </c>
      <c r="K537" t="s">
        <v>44</v>
      </c>
      <c r="L537" t="s">
        <v>34</v>
      </c>
      <c r="M537" t="s">
        <v>36</v>
      </c>
      <c r="N537">
        <v>41</v>
      </c>
      <c r="O537" t="s">
        <v>20</v>
      </c>
    </row>
    <row r="538" spans="1:15" x14ac:dyDescent="0.25">
      <c r="A538">
        <v>537</v>
      </c>
      <c r="B538" t="s">
        <v>26</v>
      </c>
      <c r="C538" t="s">
        <v>14</v>
      </c>
      <c r="D538">
        <v>80000</v>
      </c>
      <c r="E538">
        <v>3</v>
      </c>
      <c r="F538" s="2" t="s">
        <v>45</v>
      </c>
      <c r="G538" t="s">
        <v>15</v>
      </c>
      <c r="H538" t="s">
        <v>16</v>
      </c>
      <c r="I538" t="s">
        <v>17</v>
      </c>
      <c r="J538">
        <v>1</v>
      </c>
      <c r="K538" t="s">
        <v>44</v>
      </c>
      <c r="L538" t="s">
        <v>18</v>
      </c>
      <c r="M538" t="s">
        <v>36</v>
      </c>
      <c r="N538">
        <v>41</v>
      </c>
      <c r="O538" t="s">
        <v>17</v>
      </c>
    </row>
    <row r="539" spans="1:15" x14ac:dyDescent="0.25">
      <c r="A539">
        <v>538</v>
      </c>
      <c r="B539" t="s">
        <v>13</v>
      </c>
      <c r="C539" t="s">
        <v>14</v>
      </c>
      <c r="D539">
        <v>40000</v>
      </c>
      <c r="E539">
        <v>1</v>
      </c>
      <c r="F539" s="2" t="s">
        <v>45</v>
      </c>
      <c r="G539" t="s">
        <v>22</v>
      </c>
      <c r="H539" t="s">
        <v>23</v>
      </c>
      <c r="I539" t="s">
        <v>17</v>
      </c>
      <c r="J539">
        <v>1</v>
      </c>
      <c r="K539" t="s">
        <v>44</v>
      </c>
      <c r="L539" t="s">
        <v>30</v>
      </c>
      <c r="M539" t="s">
        <v>36</v>
      </c>
      <c r="N539">
        <v>49</v>
      </c>
      <c r="O539" t="s">
        <v>17</v>
      </c>
    </row>
    <row r="540" spans="1:15" x14ac:dyDescent="0.25">
      <c r="A540">
        <v>539</v>
      </c>
      <c r="B540" t="s">
        <v>13</v>
      </c>
      <c r="C540" t="s">
        <v>14</v>
      </c>
      <c r="D540">
        <v>80000</v>
      </c>
      <c r="E540">
        <v>4</v>
      </c>
      <c r="F540" s="2" t="s">
        <v>45</v>
      </c>
      <c r="G540" t="s">
        <v>15</v>
      </c>
      <c r="H540" t="s">
        <v>32</v>
      </c>
      <c r="I540" t="s">
        <v>17</v>
      </c>
      <c r="J540">
        <v>0</v>
      </c>
      <c r="K540" t="s">
        <v>43</v>
      </c>
      <c r="L540" t="s">
        <v>18</v>
      </c>
      <c r="M540" t="s">
        <v>36</v>
      </c>
      <c r="N540">
        <v>42</v>
      </c>
      <c r="O540" t="s">
        <v>20</v>
      </c>
    </row>
    <row r="541" spans="1:15" x14ac:dyDescent="0.25">
      <c r="A541">
        <v>540</v>
      </c>
      <c r="B541" t="s">
        <v>26</v>
      </c>
      <c r="C541" t="s">
        <v>14</v>
      </c>
      <c r="D541">
        <v>70000</v>
      </c>
      <c r="E541">
        <v>0</v>
      </c>
      <c r="F541" s="2" t="s">
        <v>46</v>
      </c>
      <c r="G541" t="s">
        <v>15</v>
      </c>
      <c r="H541" t="s">
        <v>24</v>
      </c>
      <c r="I541" t="s">
        <v>20</v>
      </c>
      <c r="J541">
        <v>1</v>
      </c>
      <c r="K541" t="s">
        <v>44</v>
      </c>
      <c r="L541" t="s">
        <v>25</v>
      </c>
      <c r="M541" t="s">
        <v>36</v>
      </c>
      <c r="N541">
        <v>37</v>
      </c>
      <c r="O541" t="s">
        <v>17</v>
      </c>
    </row>
    <row r="542" spans="1:15" x14ac:dyDescent="0.25">
      <c r="A542">
        <v>541</v>
      </c>
      <c r="B542" t="s">
        <v>26</v>
      </c>
      <c r="C542" t="s">
        <v>14</v>
      </c>
      <c r="D542">
        <v>70000</v>
      </c>
      <c r="E542">
        <v>3</v>
      </c>
      <c r="F542" s="2" t="s">
        <v>45</v>
      </c>
      <c r="G542" t="s">
        <v>35</v>
      </c>
      <c r="H542" t="s">
        <v>32</v>
      </c>
      <c r="I542" t="s">
        <v>17</v>
      </c>
      <c r="J542">
        <v>2</v>
      </c>
      <c r="K542" t="s">
        <v>44</v>
      </c>
      <c r="L542" t="s">
        <v>30</v>
      </c>
      <c r="M542" t="s">
        <v>36</v>
      </c>
      <c r="N542">
        <v>52</v>
      </c>
      <c r="O542" t="s">
        <v>20</v>
      </c>
    </row>
    <row r="543" spans="1:15" x14ac:dyDescent="0.25">
      <c r="A543">
        <v>542</v>
      </c>
      <c r="B543" t="s">
        <v>13</v>
      </c>
      <c r="C543" t="s">
        <v>21</v>
      </c>
      <c r="D543">
        <v>50000</v>
      </c>
      <c r="E543">
        <v>1</v>
      </c>
      <c r="F543" s="2" t="s">
        <v>45</v>
      </c>
      <c r="G543" t="s">
        <v>35</v>
      </c>
      <c r="H543" t="s">
        <v>16</v>
      </c>
      <c r="I543" t="s">
        <v>17</v>
      </c>
      <c r="J543">
        <v>0</v>
      </c>
      <c r="K543" t="s">
        <v>43</v>
      </c>
      <c r="L543" t="s">
        <v>30</v>
      </c>
      <c r="M543" t="s">
        <v>36</v>
      </c>
      <c r="N543">
        <v>34</v>
      </c>
      <c r="O543" t="s">
        <v>20</v>
      </c>
    </row>
    <row r="544" spans="1:15" x14ac:dyDescent="0.25">
      <c r="A544">
        <v>543</v>
      </c>
      <c r="B544" t="s">
        <v>13</v>
      </c>
      <c r="C544" t="s">
        <v>21</v>
      </c>
      <c r="D544">
        <v>40000</v>
      </c>
      <c r="E544">
        <v>0</v>
      </c>
      <c r="F544" s="2" t="s">
        <v>46</v>
      </c>
      <c r="G544" t="s">
        <v>31</v>
      </c>
      <c r="H544" t="s">
        <v>16</v>
      </c>
      <c r="I544" t="s">
        <v>17</v>
      </c>
      <c r="J544">
        <v>2</v>
      </c>
      <c r="K544" t="s">
        <v>44</v>
      </c>
      <c r="L544" t="s">
        <v>27</v>
      </c>
      <c r="M544" t="s">
        <v>36</v>
      </c>
      <c r="N544">
        <v>29</v>
      </c>
      <c r="O544" t="s">
        <v>20</v>
      </c>
    </row>
    <row r="545" spans="1:15" x14ac:dyDescent="0.25">
      <c r="A545">
        <v>544</v>
      </c>
      <c r="B545" t="s">
        <v>13</v>
      </c>
      <c r="C545" t="s">
        <v>14</v>
      </c>
      <c r="D545">
        <v>70000</v>
      </c>
      <c r="E545">
        <v>2</v>
      </c>
      <c r="F545" s="2" t="s">
        <v>45</v>
      </c>
      <c r="G545" t="s">
        <v>31</v>
      </c>
      <c r="H545" t="s">
        <v>24</v>
      </c>
      <c r="I545" t="s">
        <v>17</v>
      </c>
      <c r="J545">
        <v>2</v>
      </c>
      <c r="K545" t="s">
        <v>44</v>
      </c>
      <c r="L545" t="s">
        <v>25</v>
      </c>
      <c r="M545" t="s">
        <v>36</v>
      </c>
      <c r="N545">
        <v>53</v>
      </c>
      <c r="O545" t="s">
        <v>20</v>
      </c>
    </row>
    <row r="546" spans="1:15" x14ac:dyDescent="0.25">
      <c r="A546">
        <v>545</v>
      </c>
      <c r="B546" t="s">
        <v>26</v>
      </c>
      <c r="C546" t="s">
        <v>21</v>
      </c>
      <c r="D546">
        <v>120000</v>
      </c>
      <c r="E546">
        <v>2</v>
      </c>
      <c r="F546" s="2" t="s">
        <v>45</v>
      </c>
      <c r="G546" t="s">
        <v>15</v>
      </c>
      <c r="H546" t="s">
        <v>32</v>
      </c>
      <c r="I546" t="s">
        <v>20</v>
      </c>
      <c r="J546">
        <v>4</v>
      </c>
      <c r="K546" t="s">
        <v>44</v>
      </c>
      <c r="L546" t="s">
        <v>30</v>
      </c>
      <c r="M546" t="s">
        <v>36</v>
      </c>
      <c r="N546">
        <v>40</v>
      </c>
      <c r="O546" t="s">
        <v>20</v>
      </c>
    </row>
    <row r="547" spans="1:15" x14ac:dyDescent="0.25">
      <c r="A547">
        <v>546</v>
      </c>
      <c r="B547" t="s">
        <v>26</v>
      </c>
      <c r="C547" t="s">
        <v>21</v>
      </c>
      <c r="D547">
        <v>60000</v>
      </c>
      <c r="E547">
        <v>0</v>
      </c>
      <c r="F547" s="2" t="s">
        <v>46</v>
      </c>
      <c r="G547" t="s">
        <v>22</v>
      </c>
      <c r="H547" t="s">
        <v>16</v>
      </c>
      <c r="I547" t="s">
        <v>20</v>
      </c>
      <c r="J547">
        <v>2</v>
      </c>
      <c r="K547" t="s">
        <v>44</v>
      </c>
      <c r="L547" t="s">
        <v>30</v>
      </c>
      <c r="M547" t="s">
        <v>36</v>
      </c>
      <c r="N547">
        <v>29</v>
      </c>
      <c r="O547" t="s">
        <v>20</v>
      </c>
    </row>
    <row r="548" spans="1:15" x14ac:dyDescent="0.25">
      <c r="A548">
        <v>547</v>
      </c>
      <c r="B548" t="s">
        <v>13</v>
      </c>
      <c r="C548" t="s">
        <v>21</v>
      </c>
      <c r="D548">
        <v>60000</v>
      </c>
      <c r="E548">
        <v>4</v>
      </c>
      <c r="F548" s="2" t="s">
        <v>45</v>
      </c>
      <c r="G548" t="s">
        <v>15</v>
      </c>
      <c r="H548" t="s">
        <v>24</v>
      </c>
      <c r="I548" t="s">
        <v>17</v>
      </c>
      <c r="J548">
        <v>2</v>
      </c>
      <c r="K548" t="s">
        <v>44</v>
      </c>
      <c r="L548" t="s">
        <v>25</v>
      </c>
      <c r="M548" t="s">
        <v>36</v>
      </c>
      <c r="N548">
        <v>43</v>
      </c>
      <c r="O548" t="s">
        <v>17</v>
      </c>
    </row>
    <row r="549" spans="1:15" x14ac:dyDescent="0.25">
      <c r="A549">
        <v>548</v>
      </c>
      <c r="B549" t="s">
        <v>13</v>
      </c>
      <c r="C549" t="s">
        <v>21</v>
      </c>
      <c r="D549">
        <v>60000</v>
      </c>
      <c r="E549">
        <v>2</v>
      </c>
      <c r="F549" s="2" t="s">
        <v>45</v>
      </c>
      <c r="G549" t="s">
        <v>31</v>
      </c>
      <c r="H549" t="s">
        <v>24</v>
      </c>
      <c r="I549" t="s">
        <v>17</v>
      </c>
      <c r="J549">
        <v>2</v>
      </c>
      <c r="K549" t="s">
        <v>44</v>
      </c>
      <c r="L549" t="s">
        <v>25</v>
      </c>
      <c r="M549" t="s">
        <v>36</v>
      </c>
      <c r="N549">
        <v>55</v>
      </c>
      <c r="O549" t="s">
        <v>17</v>
      </c>
    </row>
    <row r="550" spans="1:15" x14ac:dyDescent="0.25">
      <c r="A550">
        <v>549</v>
      </c>
      <c r="B550" t="s">
        <v>26</v>
      </c>
      <c r="C550" t="s">
        <v>14</v>
      </c>
      <c r="D550">
        <v>80000</v>
      </c>
      <c r="E550">
        <v>4</v>
      </c>
      <c r="F550" s="2" t="s">
        <v>45</v>
      </c>
      <c r="G550" t="s">
        <v>35</v>
      </c>
      <c r="H550" t="s">
        <v>16</v>
      </c>
      <c r="I550" t="s">
        <v>20</v>
      </c>
      <c r="J550">
        <v>0</v>
      </c>
      <c r="K550" t="s">
        <v>43</v>
      </c>
      <c r="L550" t="s">
        <v>18</v>
      </c>
      <c r="M550" t="s">
        <v>36</v>
      </c>
      <c r="N550">
        <v>48</v>
      </c>
      <c r="O550" t="s">
        <v>20</v>
      </c>
    </row>
    <row r="551" spans="1:15" x14ac:dyDescent="0.25">
      <c r="A551">
        <v>550</v>
      </c>
      <c r="B551" t="s">
        <v>13</v>
      </c>
      <c r="C551" t="s">
        <v>14</v>
      </c>
      <c r="D551">
        <v>130000</v>
      </c>
      <c r="E551">
        <v>3</v>
      </c>
      <c r="F551" s="2" t="s">
        <v>45</v>
      </c>
      <c r="G551" t="s">
        <v>15</v>
      </c>
      <c r="H551" t="s">
        <v>32</v>
      </c>
      <c r="I551" t="s">
        <v>17</v>
      </c>
      <c r="J551">
        <v>3</v>
      </c>
      <c r="K551" t="s">
        <v>44</v>
      </c>
      <c r="L551" t="s">
        <v>18</v>
      </c>
      <c r="M551" t="s">
        <v>36</v>
      </c>
      <c r="N551">
        <v>45</v>
      </c>
      <c r="O551" t="s">
        <v>17</v>
      </c>
    </row>
    <row r="552" spans="1:15" x14ac:dyDescent="0.25">
      <c r="A552">
        <v>551</v>
      </c>
      <c r="B552" t="s">
        <v>26</v>
      </c>
      <c r="C552" t="s">
        <v>14</v>
      </c>
      <c r="D552">
        <v>70000</v>
      </c>
      <c r="E552">
        <v>0</v>
      </c>
      <c r="F552" s="2" t="s">
        <v>46</v>
      </c>
      <c r="G552" t="s">
        <v>15</v>
      </c>
      <c r="H552" t="s">
        <v>24</v>
      </c>
      <c r="I552" t="s">
        <v>20</v>
      </c>
      <c r="J552">
        <v>1</v>
      </c>
      <c r="K552" t="s">
        <v>44</v>
      </c>
      <c r="L552" t="s">
        <v>18</v>
      </c>
      <c r="M552" t="s">
        <v>28</v>
      </c>
      <c r="N552">
        <v>42</v>
      </c>
      <c r="O552" t="s">
        <v>17</v>
      </c>
    </row>
    <row r="553" spans="1:15" x14ac:dyDescent="0.25">
      <c r="A553">
        <v>552</v>
      </c>
      <c r="B553" t="s">
        <v>13</v>
      </c>
      <c r="C553" t="s">
        <v>14</v>
      </c>
      <c r="D553">
        <v>50000</v>
      </c>
      <c r="E553">
        <v>4</v>
      </c>
      <c r="F553" s="2" t="s">
        <v>45</v>
      </c>
      <c r="G553" t="s">
        <v>15</v>
      </c>
      <c r="H553" t="s">
        <v>32</v>
      </c>
      <c r="I553" t="s">
        <v>17</v>
      </c>
      <c r="J553">
        <v>2</v>
      </c>
      <c r="K553" t="s">
        <v>44</v>
      </c>
      <c r="L553" t="s">
        <v>34</v>
      </c>
      <c r="M553" t="s">
        <v>36</v>
      </c>
      <c r="N553">
        <v>63</v>
      </c>
      <c r="O553" t="s">
        <v>20</v>
      </c>
    </row>
    <row r="554" spans="1:15" x14ac:dyDescent="0.25">
      <c r="A554">
        <v>553</v>
      </c>
      <c r="B554" t="s">
        <v>26</v>
      </c>
      <c r="C554" t="s">
        <v>21</v>
      </c>
      <c r="D554">
        <v>60000</v>
      </c>
      <c r="E554">
        <v>3</v>
      </c>
      <c r="F554" s="2" t="s">
        <v>45</v>
      </c>
      <c r="G554" t="s">
        <v>31</v>
      </c>
      <c r="H554" t="s">
        <v>24</v>
      </c>
      <c r="I554" t="s">
        <v>17</v>
      </c>
      <c r="J554">
        <v>2</v>
      </c>
      <c r="K554" t="s">
        <v>44</v>
      </c>
      <c r="L554" t="s">
        <v>34</v>
      </c>
      <c r="M554" t="s">
        <v>36</v>
      </c>
      <c r="N554">
        <v>54</v>
      </c>
      <c r="O554" t="s">
        <v>17</v>
      </c>
    </row>
    <row r="555" spans="1:15" x14ac:dyDescent="0.25">
      <c r="A555">
        <v>554</v>
      </c>
      <c r="B555" t="s">
        <v>13</v>
      </c>
      <c r="C555" t="s">
        <v>21</v>
      </c>
      <c r="D555">
        <v>40000</v>
      </c>
      <c r="E555">
        <v>3</v>
      </c>
      <c r="F555" s="2" t="s">
        <v>45</v>
      </c>
      <c r="G555" t="s">
        <v>22</v>
      </c>
      <c r="H555" t="s">
        <v>24</v>
      </c>
      <c r="I555" t="s">
        <v>20</v>
      </c>
      <c r="J555">
        <v>2</v>
      </c>
      <c r="K555" t="s">
        <v>44</v>
      </c>
      <c r="L555" t="s">
        <v>27</v>
      </c>
      <c r="M555" t="s">
        <v>36</v>
      </c>
      <c r="N555">
        <v>73</v>
      </c>
      <c r="O555" t="s">
        <v>17</v>
      </c>
    </row>
    <row r="556" spans="1:15" x14ac:dyDescent="0.25">
      <c r="A556">
        <v>555</v>
      </c>
      <c r="B556" t="s">
        <v>13</v>
      </c>
      <c r="C556" t="s">
        <v>14</v>
      </c>
      <c r="D556">
        <v>60000</v>
      </c>
      <c r="E556">
        <v>2</v>
      </c>
      <c r="F556" s="2" t="s">
        <v>45</v>
      </c>
      <c r="G556" t="s">
        <v>35</v>
      </c>
      <c r="H556" t="s">
        <v>24</v>
      </c>
      <c r="I556" t="s">
        <v>17</v>
      </c>
      <c r="J556">
        <v>0</v>
      </c>
      <c r="K556" t="s">
        <v>43</v>
      </c>
      <c r="L556" t="s">
        <v>25</v>
      </c>
      <c r="M556" t="s">
        <v>36</v>
      </c>
      <c r="N556">
        <v>40</v>
      </c>
      <c r="O556" t="s">
        <v>17</v>
      </c>
    </row>
    <row r="557" spans="1:15" x14ac:dyDescent="0.25">
      <c r="A557">
        <v>556</v>
      </c>
      <c r="B557" t="s">
        <v>26</v>
      </c>
      <c r="C557" t="s">
        <v>21</v>
      </c>
      <c r="D557">
        <v>50000</v>
      </c>
      <c r="E557">
        <v>0</v>
      </c>
      <c r="F557" s="2" t="s">
        <v>46</v>
      </c>
      <c r="G557" t="s">
        <v>22</v>
      </c>
      <c r="H557" t="s">
        <v>16</v>
      </c>
      <c r="I557" t="s">
        <v>20</v>
      </c>
      <c r="J557">
        <v>1</v>
      </c>
      <c r="K557" t="s">
        <v>44</v>
      </c>
      <c r="L557" t="s">
        <v>25</v>
      </c>
      <c r="M557" t="s">
        <v>36</v>
      </c>
      <c r="N557">
        <v>39</v>
      </c>
      <c r="O557" t="s">
        <v>17</v>
      </c>
    </row>
    <row r="558" spans="1:15" x14ac:dyDescent="0.25">
      <c r="A558">
        <v>557</v>
      </c>
      <c r="B558" t="s">
        <v>13</v>
      </c>
      <c r="C558" t="s">
        <v>21</v>
      </c>
      <c r="D558">
        <v>80000</v>
      </c>
      <c r="E558">
        <v>4</v>
      </c>
      <c r="F558" s="2" t="s">
        <v>45</v>
      </c>
      <c r="G558" t="s">
        <v>15</v>
      </c>
      <c r="H558" t="s">
        <v>32</v>
      </c>
      <c r="I558" t="s">
        <v>17</v>
      </c>
      <c r="J558">
        <v>0</v>
      </c>
      <c r="K558" t="s">
        <v>43</v>
      </c>
      <c r="L558" t="s">
        <v>30</v>
      </c>
      <c r="M558" t="s">
        <v>36</v>
      </c>
      <c r="N558">
        <v>42</v>
      </c>
      <c r="O558" t="s">
        <v>20</v>
      </c>
    </row>
    <row r="559" spans="1:15" x14ac:dyDescent="0.25">
      <c r="A559">
        <v>558</v>
      </c>
      <c r="B559" t="s">
        <v>13</v>
      </c>
      <c r="C559" t="s">
        <v>14</v>
      </c>
      <c r="D559">
        <v>40000</v>
      </c>
      <c r="E559">
        <v>3</v>
      </c>
      <c r="F559" s="2" t="s">
        <v>45</v>
      </c>
      <c r="G559" t="s">
        <v>22</v>
      </c>
      <c r="H559" t="s">
        <v>23</v>
      </c>
      <c r="I559" t="s">
        <v>17</v>
      </c>
      <c r="J559">
        <v>0</v>
      </c>
      <c r="K559" t="s">
        <v>43</v>
      </c>
      <c r="L559" t="s">
        <v>30</v>
      </c>
      <c r="M559" t="s">
        <v>36</v>
      </c>
      <c r="N559">
        <v>31</v>
      </c>
      <c r="O559" t="s">
        <v>20</v>
      </c>
    </row>
    <row r="560" spans="1:15" x14ac:dyDescent="0.25">
      <c r="A560">
        <v>559</v>
      </c>
      <c r="B560" t="s">
        <v>13</v>
      </c>
      <c r="C560" t="s">
        <v>14</v>
      </c>
      <c r="D560">
        <v>50000</v>
      </c>
      <c r="E560">
        <v>3</v>
      </c>
      <c r="F560" s="2" t="s">
        <v>45</v>
      </c>
      <c r="G560" t="s">
        <v>15</v>
      </c>
      <c r="H560" t="s">
        <v>16</v>
      </c>
      <c r="I560" t="s">
        <v>17</v>
      </c>
      <c r="J560">
        <v>2</v>
      </c>
      <c r="K560" t="s">
        <v>44</v>
      </c>
      <c r="L560" t="s">
        <v>18</v>
      </c>
      <c r="M560" t="s">
        <v>36</v>
      </c>
      <c r="N560">
        <v>41</v>
      </c>
      <c r="O560" t="s">
        <v>20</v>
      </c>
    </row>
    <row r="561" spans="1:15" x14ac:dyDescent="0.25">
      <c r="A561">
        <v>560</v>
      </c>
      <c r="B561" t="s">
        <v>26</v>
      </c>
      <c r="C561" t="s">
        <v>14</v>
      </c>
      <c r="D561">
        <v>60000</v>
      </c>
      <c r="E561">
        <v>2</v>
      </c>
      <c r="F561" s="2" t="s">
        <v>45</v>
      </c>
      <c r="G561" t="s">
        <v>15</v>
      </c>
      <c r="H561" t="s">
        <v>32</v>
      </c>
      <c r="I561" t="s">
        <v>17</v>
      </c>
      <c r="J561">
        <v>0</v>
      </c>
      <c r="K561" t="s">
        <v>43</v>
      </c>
      <c r="L561" t="s">
        <v>34</v>
      </c>
      <c r="M561" t="s">
        <v>36</v>
      </c>
      <c r="N561">
        <v>58</v>
      </c>
      <c r="O561" t="s">
        <v>20</v>
      </c>
    </row>
    <row r="562" spans="1:15" x14ac:dyDescent="0.25">
      <c r="A562">
        <v>561</v>
      </c>
      <c r="B562" t="s">
        <v>13</v>
      </c>
      <c r="C562" t="s">
        <v>14</v>
      </c>
      <c r="D562">
        <v>60000</v>
      </c>
      <c r="E562">
        <v>0</v>
      </c>
      <c r="F562" s="2" t="s">
        <v>46</v>
      </c>
      <c r="G562" t="s">
        <v>35</v>
      </c>
      <c r="H562" t="s">
        <v>24</v>
      </c>
      <c r="I562" t="s">
        <v>17</v>
      </c>
      <c r="J562">
        <v>0</v>
      </c>
      <c r="K562" t="s">
        <v>43</v>
      </c>
      <c r="L562" t="s">
        <v>18</v>
      </c>
      <c r="M562" t="s">
        <v>36</v>
      </c>
      <c r="N562">
        <v>40</v>
      </c>
      <c r="O562" t="s">
        <v>20</v>
      </c>
    </row>
    <row r="563" spans="1:15" x14ac:dyDescent="0.25">
      <c r="A563">
        <v>562</v>
      </c>
      <c r="B563" t="s">
        <v>13</v>
      </c>
      <c r="C563" t="s">
        <v>14</v>
      </c>
      <c r="D563">
        <v>20000</v>
      </c>
      <c r="E563">
        <v>2</v>
      </c>
      <c r="F563" s="2" t="s">
        <v>45</v>
      </c>
      <c r="G563" t="s">
        <v>33</v>
      </c>
      <c r="H563" t="s">
        <v>23</v>
      </c>
      <c r="I563" t="s">
        <v>20</v>
      </c>
      <c r="J563">
        <v>0</v>
      </c>
      <c r="K563" t="s">
        <v>43</v>
      </c>
      <c r="L563" t="s">
        <v>18</v>
      </c>
      <c r="M563" t="s">
        <v>36</v>
      </c>
      <c r="N563">
        <v>48</v>
      </c>
      <c r="O563" t="s">
        <v>20</v>
      </c>
    </row>
    <row r="564" spans="1:15" x14ac:dyDescent="0.25">
      <c r="A564">
        <v>563</v>
      </c>
      <c r="B564" t="s">
        <v>13</v>
      </c>
      <c r="C564" t="s">
        <v>14</v>
      </c>
      <c r="D564">
        <v>70000</v>
      </c>
      <c r="E564">
        <v>2</v>
      </c>
      <c r="F564" s="2" t="s">
        <v>45</v>
      </c>
      <c r="G564" t="s">
        <v>35</v>
      </c>
      <c r="H564" t="s">
        <v>24</v>
      </c>
      <c r="I564" t="s">
        <v>17</v>
      </c>
      <c r="J564">
        <v>0</v>
      </c>
      <c r="K564" t="s">
        <v>43</v>
      </c>
      <c r="L564" t="s">
        <v>25</v>
      </c>
      <c r="M564" t="s">
        <v>36</v>
      </c>
      <c r="N564">
        <v>34</v>
      </c>
      <c r="O564" t="s">
        <v>17</v>
      </c>
    </row>
    <row r="565" spans="1:15" x14ac:dyDescent="0.25">
      <c r="A565">
        <v>564</v>
      </c>
      <c r="B565" t="s">
        <v>26</v>
      </c>
      <c r="C565" t="s">
        <v>14</v>
      </c>
      <c r="D565">
        <v>30000</v>
      </c>
      <c r="E565">
        <v>0</v>
      </c>
      <c r="F565" s="2" t="s">
        <v>46</v>
      </c>
      <c r="G565" t="s">
        <v>22</v>
      </c>
      <c r="H565" t="s">
        <v>16</v>
      </c>
      <c r="I565" t="s">
        <v>17</v>
      </c>
      <c r="J565">
        <v>1</v>
      </c>
      <c r="K565" t="s">
        <v>44</v>
      </c>
      <c r="L565" t="s">
        <v>27</v>
      </c>
      <c r="M565" t="s">
        <v>36</v>
      </c>
      <c r="N565">
        <v>28</v>
      </c>
      <c r="O565" t="s">
        <v>20</v>
      </c>
    </row>
    <row r="566" spans="1:15" x14ac:dyDescent="0.25">
      <c r="A566">
        <v>565</v>
      </c>
      <c r="B566" t="s">
        <v>26</v>
      </c>
      <c r="C566" t="s">
        <v>21</v>
      </c>
      <c r="D566">
        <v>30000</v>
      </c>
      <c r="E566">
        <v>0</v>
      </c>
      <c r="F566" s="2" t="s">
        <v>46</v>
      </c>
      <c r="G566" t="s">
        <v>22</v>
      </c>
      <c r="H566" t="s">
        <v>16</v>
      </c>
      <c r="I566" t="s">
        <v>17</v>
      </c>
      <c r="J566">
        <v>1</v>
      </c>
      <c r="K566" t="s">
        <v>44</v>
      </c>
      <c r="L566" t="s">
        <v>27</v>
      </c>
      <c r="M566" t="s">
        <v>36</v>
      </c>
      <c r="N566">
        <v>27</v>
      </c>
      <c r="O566" t="s">
        <v>20</v>
      </c>
    </row>
    <row r="567" spans="1:15" x14ac:dyDescent="0.25">
      <c r="A567">
        <v>566</v>
      </c>
      <c r="B567" t="s">
        <v>13</v>
      </c>
      <c r="C567" t="s">
        <v>21</v>
      </c>
      <c r="D567">
        <v>40000</v>
      </c>
      <c r="E567">
        <v>3</v>
      </c>
      <c r="F567" s="2" t="s">
        <v>45</v>
      </c>
      <c r="G567" t="s">
        <v>22</v>
      </c>
      <c r="H567" t="s">
        <v>24</v>
      </c>
      <c r="I567" t="s">
        <v>20</v>
      </c>
      <c r="J567">
        <v>2</v>
      </c>
      <c r="K567" t="s">
        <v>44</v>
      </c>
      <c r="L567" t="s">
        <v>27</v>
      </c>
      <c r="M567" t="s">
        <v>36</v>
      </c>
      <c r="N567">
        <v>54</v>
      </c>
      <c r="O567" t="s">
        <v>17</v>
      </c>
    </row>
    <row r="568" spans="1:15" x14ac:dyDescent="0.25">
      <c r="A568">
        <v>567</v>
      </c>
      <c r="B568" t="s">
        <v>13</v>
      </c>
      <c r="C568" t="s">
        <v>14</v>
      </c>
      <c r="D568">
        <v>60000</v>
      </c>
      <c r="E568">
        <v>2</v>
      </c>
      <c r="F568" s="2" t="s">
        <v>45</v>
      </c>
      <c r="G568" t="s">
        <v>35</v>
      </c>
      <c r="H568" t="s">
        <v>32</v>
      </c>
      <c r="I568" t="s">
        <v>17</v>
      </c>
      <c r="J568">
        <v>2</v>
      </c>
      <c r="K568" t="s">
        <v>44</v>
      </c>
      <c r="L568" t="s">
        <v>27</v>
      </c>
      <c r="M568" t="s">
        <v>36</v>
      </c>
      <c r="N568">
        <v>70</v>
      </c>
      <c r="O568" t="s">
        <v>20</v>
      </c>
    </row>
    <row r="569" spans="1:15" x14ac:dyDescent="0.25">
      <c r="A569">
        <v>568</v>
      </c>
      <c r="B569" t="s">
        <v>13</v>
      </c>
      <c r="C569" t="s">
        <v>21</v>
      </c>
      <c r="D569">
        <v>40000</v>
      </c>
      <c r="E569">
        <v>1</v>
      </c>
      <c r="F569" s="2" t="s">
        <v>45</v>
      </c>
      <c r="G569" t="s">
        <v>22</v>
      </c>
      <c r="H569" t="s">
        <v>23</v>
      </c>
      <c r="I569" t="s">
        <v>17</v>
      </c>
      <c r="J569">
        <v>1</v>
      </c>
      <c r="K569" t="s">
        <v>44</v>
      </c>
      <c r="L569" t="s">
        <v>30</v>
      </c>
      <c r="M569" t="s">
        <v>36</v>
      </c>
      <c r="N569">
        <v>48</v>
      </c>
      <c r="O569" t="s">
        <v>17</v>
      </c>
    </row>
    <row r="570" spans="1:15" x14ac:dyDescent="0.25">
      <c r="A570">
        <v>569</v>
      </c>
      <c r="B570" t="s">
        <v>13</v>
      </c>
      <c r="C570" t="s">
        <v>21</v>
      </c>
      <c r="D570">
        <v>70000</v>
      </c>
      <c r="E570">
        <v>1</v>
      </c>
      <c r="F570" s="2" t="s">
        <v>45</v>
      </c>
      <c r="G570" t="s">
        <v>22</v>
      </c>
      <c r="H570" t="s">
        <v>16</v>
      </c>
      <c r="I570" t="s">
        <v>17</v>
      </c>
      <c r="J570">
        <v>1</v>
      </c>
      <c r="K570" t="s">
        <v>44</v>
      </c>
      <c r="L570" t="s">
        <v>25</v>
      </c>
      <c r="M570" t="s">
        <v>36</v>
      </c>
      <c r="N570">
        <v>44</v>
      </c>
      <c r="O570" t="s">
        <v>17</v>
      </c>
    </row>
    <row r="571" spans="1:15" x14ac:dyDescent="0.25">
      <c r="A571">
        <v>570</v>
      </c>
      <c r="B571" t="s">
        <v>26</v>
      </c>
      <c r="C571" t="s">
        <v>21</v>
      </c>
      <c r="D571">
        <v>50000</v>
      </c>
      <c r="E571">
        <v>3</v>
      </c>
      <c r="F571" s="2" t="s">
        <v>45</v>
      </c>
      <c r="G571" t="s">
        <v>35</v>
      </c>
      <c r="H571" t="s">
        <v>32</v>
      </c>
      <c r="I571" t="s">
        <v>17</v>
      </c>
      <c r="J571">
        <v>2</v>
      </c>
      <c r="K571" t="s">
        <v>44</v>
      </c>
      <c r="L571" t="s">
        <v>34</v>
      </c>
      <c r="M571" t="s">
        <v>36</v>
      </c>
      <c r="N571">
        <v>69</v>
      </c>
      <c r="O571" t="s">
        <v>20</v>
      </c>
    </row>
    <row r="572" spans="1:15" x14ac:dyDescent="0.25">
      <c r="A572">
        <v>571</v>
      </c>
      <c r="B572" t="s">
        <v>13</v>
      </c>
      <c r="C572" t="s">
        <v>21</v>
      </c>
      <c r="D572">
        <v>70000</v>
      </c>
      <c r="E572">
        <v>3</v>
      </c>
      <c r="F572" s="2" t="s">
        <v>45</v>
      </c>
      <c r="G572" t="s">
        <v>33</v>
      </c>
      <c r="H572" t="s">
        <v>16</v>
      </c>
      <c r="I572" t="s">
        <v>17</v>
      </c>
      <c r="J572">
        <v>2</v>
      </c>
      <c r="K572" t="s">
        <v>44</v>
      </c>
      <c r="L572" t="s">
        <v>27</v>
      </c>
      <c r="M572" t="s">
        <v>36</v>
      </c>
      <c r="N572">
        <v>52</v>
      </c>
      <c r="O572" t="s">
        <v>20</v>
      </c>
    </row>
    <row r="573" spans="1:15" x14ac:dyDescent="0.25">
      <c r="A573">
        <v>572</v>
      </c>
      <c r="B573" t="s">
        <v>13</v>
      </c>
      <c r="C573" t="s">
        <v>21</v>
      </c>
      <c r="D573">
        <v>40000</v>
      </c>
      <c r="E573">
        <v>2</v>
      </c>
      <c r="F573" s="2" t="s">
        <v>45</v>
      </c>
      <c r="G573" t="s">
        <v>33</v>
      </c>
      <c r="H573" t="s">
        <v>16</v>
      </c>
      <c r="I573" t="s">
        <v>17</v>
      </c>
      <c r="J573">
        <v>2</v>
      </c>
      <c r="K573" t="s">
        <v>44</v>
      </c>
      <c r="L573" t="s">
        <v>25</v>
      </c>
      <c r="M573" t="s">
        <v>36</v>
      </c>
      <c r="N573">
        <v>55</v>
      </c>
      <c r="O573" t="s">
        <v>20</v>
      </c>
    </row>
    <row r="574" spans="1:15" x14ac:dyDescent="0.25">
      <c r="A574">
        <v>573</v>
      </c>
      <c r="B574" t="s">
        <v>26</v>
      </c>
      <c r="C574" t="s">
        <v>21</v>
      </c>
      <c r="D574">
        <v>30000</v>
      </c>
      <c r="E574">
        <v>0</v>
      </c>
      <c r="F574" s="2" t="s">
        <v>46</v>
      </c>
      <c r="G574" t="s">
        <v>31</v>
      </c>
      <c r="H574" t="s">
        <v>16</v>
      </c>
      <c r="I574" t="s">
        <v>17</v>
      </c>
      <c r="J574">
        <v>2</v>
      </c>
      <c r="K574" t="s">
        <v>44</v>
      </c>
      <c r="L574" t="s">
        <v>27</v>
      </c>
      <c r="M574" t="s">
        <v>36</v>
      </c>
      <c r="N574">
        <v>30</v>
      </c>
      <c r="O574" t="s">
        <v>20</v>
      </c>
    </row>
    <row r="575" spans="1:15" x14ac:dyDescent="0.25">
      <c r="A575">
        <v>574</v>
      </c>
      <c r="B575" t="s">
        <v>13</v>
      </c>
      <c r="C575" t="s">
        <v>21</v>
      </c>
      <c r="D575">
        <v>60000</v>
      </c>
      <c r="E575">
        <v>3</v>
      </c>
      <c r="F575" s="2" t="s">
        <v>45</v>
      </c>
      <c r="G575" t="s">
        <v>35</v>
      </c>
      <c r="H575" t="s">
        <v>32</v>
      </c>
      <c r="I575" t="s">
        <v>17</v>
      </c>
      <c r="J575">
        <v>2</v>
      </c>
      <c r="K575" t="s">
        <v>44</v>
      </c>
      <c r="L575" t="s">
        <v>30</v>
      </c>
      <c r="M575" t="s">
        <v>36</v>
      </c>
      <c r="N575">
        <v>63</v>
      </c>
      <c r="O575" t="s">
        <v>20</v>
      </c>
    </row>
    <row r="576" spans="1:15" x14ac:dyDescent="0.25">
      <c r="A576">
        <v>575</v>
      </c>
      <c r="B576" t="s">
        <v>26</v>
      </c>
      <c r="C576" t="s">
        <v>14</v>
      </c>
      <c r="D576">
        <v>80000</v>
      </c>
      <c r="E576">
        <v>0</v>
      </c>
      <c r="F576" s="2" t="s">
        <v>46</v>
      </c>
      <c r="G576" t="s">
        <v>15</v>
      </c>
      <c r="H576" t="s">
        <v>32</v>
      </c>
      <c r="I576" t="s">
        <v>17</v>
      </c>
      <c r="J576">
        <v>1</v>
      </c>
      <c r="K576" t="s">
        <v>44</v>
      </c>
      <c r="L576" t="s">
        <v>30</v>
      </c>
      <c r="M576" t="s">
        <v>36</v>
      </c>
      <c r="N576">
        <v>34</v>
      </c>
      <c r="O576" t="s">
        <v>17</v>
      </c>
    </row>
    <row r="577" spans="1:15" x14ac:dyDescent="0.25">
      <c r="A577">
        <v>576</v>
      </c>
      <c r="B577" t="s">
        <v>26</v>
      </c>
      <c r="C577" t="s">
        <v>21</v>
      </c>
      <c r="D577">
        <v>60000</v>
      </c>
      <c r="E577">
        <v>2</v>
      </c>
      <c r="F577" s="2" t="s">
        <v>45</v>
      </c>
      <c r="G577" t="s">
        <v>22</v>
      </c>
      <c r="H577" t="s">
        <v>24</v>
      </c>
      <c r="I577" t="s">
        <v>17</v>
      </c>
      <c r="J577">
        <v>1</v>
      </c>
      <c r="K577" t="s">
        <v>44</v>
      </c>
      <c r="L577" t="s">
        <v>34</v>
      </c>
      <c r="M577" t="s">
        <v>36</v>
      </c>
      <c r="N577">
        <v>56</v>
      </c>
      <c r="O577" t="s">
        <v>20</v>
      </c>
    </row>
    <row r="578" spans="1:15" x14ac:dyDescent="0.25">
      <c r="A578">
        <v>577</v>
      </c>
      <c r="B578" t="s">
        <v>26</v>
      </c>
      <c r="C578" t="s">
        <v>14</v>
      </c>
      <c r="D578">
        <v>40000</v>
      </c>
      <c r="E578">
        <v>0</v>
      </c>
      <c r="F578" s="2" t="s">
        <v>46</v>
      </c>
      <c r="G578" t="s">
        <v>31</v>
      </c>
      <c r="H578" t="s">
        <v>16</v>
      </c>
      <c r="I578" t="s">
        <v>17</v>
      </c>
      <c r="J578">
        <v>1</v>
      </c>
      <c r="K578" t="s">
        <v>44</v>
      </c>
      <c r="L578" t="s">
        <v>27</v>
      </c>
      <c r="M578" t="s">
        <v>36</v>
      </c>
      <c r="N578">
        <v>31</v>
      </c>
      <c r="O578" t="s">
        <v>20</v>
      </c>
    </row>
    <row r="579" spans="1:15" x14ac:dyDescent="0.25">
      <c r="A579">
        <v>578</v>
      </c>
      <c r="B579" t="s">
        <v>13</v>
      </c>
      <c r="C579" t="s">
        <v>21</v>
      </c>
      <c r="D579">
        <v>120000</v>
      </c>
      <c r="E579">
        <v>1</v>
      </c>
      <c r="F579" s="2" t="s">
        <v>45</v>
      </c>
      <c r="G579" t="s">
        <v>15</v>
      </c>
      <c r="H579" t="s">
        <v>32</v>
      </c>
      <c r="I579" t="s">
        <v>17</v>
      </c>
      <c r="J579">
        <v>4</v>
      </c>
      <c r="K579" t="s">
        <v>44</v>
      </c>
      <c r="L579" t="s">
        <v>18</v>
      </c>
      <c r="M579" t="s">
        <v>36</v>
      </c>
      <c r="N579">
        <v>38</v>
      </c>
      <c r="O579" t="s">
        <v>20</v>
      </c>
    </row>
    <row r="580" spans="1:15" x14ac:dyDescent="0.25">
      <c r="A580">
        <v>579</v>
      </c>
      <c r="B580" t="s">
        <v>13</v>
      </c>
      <c r="C580" t="s">
        <v>21</v>
      </c>
      <c r="D580">
        <v>60000</v>
      </c>
      <c r="E580">
        <v>4</v>
      </c>
      <c r="F580" s="2" t="s">
        <v>45</v>
      </c>
      <c r="G580" t="s">
        <v>15</v>
      </c>
      <c r="H580" t="s">
        <v>32</v>
      </c>
      <c r="I580" t="s">
        <v>17</v>
      </c>
      <c r="J580">
        <v>2</v>
      </c>
      <c r="K580" t="s">
        <v>44</v>
      </c>
      <c r="L580" t="s">
        <v>25</v>
      </c>
      <c r="M580" t="s">
        <v>36</v>
      </c>
      <c r="N580">
        <v>59</v>
      </c>
      <c r="O580" t="s">
        <v>20</v>
      </c>
    </row>
    <row r="581" spans="1:15" x14ac:dyDescent="0.25">
      <c r="A581">
        <v>580</v>
      </c>
      <c r="B581" t="s">
        <v>26</v>
      </c>
      <c r="C581" t="s">
        <v>14</v>
      </c>
      <c r="D581">
        <v>40000</v>
      </c>
      <c r="E581">
        <v>3</v>
      </c>
      <c r="F581" s="2" t="s">
        <v>45</v>
      </c>
      <c r="G581" t="s">
        <v>22</v>
      </c>
      <c r="H581" t="s">
        <v>23</v>
      </c>
      <c r="I581" t="s">
        <v>20</v>
      </c>
      <c r="J581">
        <v>2</v>
      </c>
      <c r="K581" t="s">
        <v>44</v>
      </c>
      <c r="L581" t="s">
        <v>18</v>
      </c>
      <c r="M581" t="s">
        <v>36</v>
      </c>
      <c r="N581">
        <v>32</v>
      </c>
      <c r="O581" t="s">
        <v>20</v>
      </c>
    </row>
    <row r="582" spans="1:15" x14ac:dyDescent="0.25">
      <c r="A582">
        <v>581</v>
      </c>
      <c r="B582" t="s">
        <v>13</v>
      </c>
      <c r="C582" t="s">
        <v>14</v>
      </c>
      <c r="D582">
        <v>60000</v>
      </c>
      <c r="E582">
        <v>3</v>
      </c>
      <c r="F582" s="2" t="s">
        <v>45</v>
      </c>
      <c r="G582" t="s">
        <v>35</v>
      </c>
      <c r="H582" t="s">
        <v>32</v>
      </c>
      <c r="I582" t="s">
        <v>17</v>
      </c>
      <c r="J582">
        <v>2</v>
      </c>
      <c r="K582" t="s">
        <v>44</v>
      </c>
      <c r="L582" t="s">
        <v>34</v>
      </c>
      <c r="M582" t="s">
        <v>36</v>
      </c>
      <c r="N582">
        <v>69</v>
      </c>
      <c r="O582" t="s">
        <v>20</v>
      </c>
    </row>
    <row r="583" spans="1:15" x14ac:dyDescent="0.25">
      <c r="A583">
        <v>582</v>
      </c>
      <c r="B583" t="s">
        <v>13</v>
      </c>
      <c r="C583" t="s">
        <v>21</v>
      </c>
      <c r="D583">
        <v>40000</v>
      </c>
      <c r="E583">
        <v>0</v>
      </c>
      <c r="F583" s="2" t="s">
        <v>46</v>
      </c>
      <c r="G583" t="s">
        <v>22</v>
      </c>
      <c r="H583" t="s">
        <v>16</v>
      </c>
      <c r="I583" t="s">
        <v>17</v>
      </c>
      <c r="J583">
        <v>1</v>
      </c>
      <c r="K583" t="s">
        <v>44</v>
      </c>
      <c r="L583" t="s">
        <v>27</v>
      </c>
      <c r="M583" t="s">
        <v>36</v>
      </c>
      <c r="N583">
        <v>28</v>
      </c>
      <c r="O583" t="s">
        <v>20</v>
      </c>
    </row>
    <row r="584" spans="1:15" x14ac:dyDescent="0.25">
      <c r="A584">
        <v>583</v>
      </c>
      <c r="B584" t="s">
        <v>13</v>
      </c>
      <c r="C584" t="s">
        <v>21</v>
      </c>
      <c r="D584">
        <v>80000</v>
      </c>
      <c r="E584">
        <v>4</v>
      </c>
      <c r="F584" s="2" t="s">
        <v>45</v>
      </c>
      <c r="G584" t="s">
        <v>35</v>
      </c>
      <c r="H584" t="s">
        <v>16</v>
      </c>
      <c r="I584" t="s">
        <v>17</v>
      </c>
      <c r="J584">
        <v>0</v>
      </c>
      <c r="K584" t="s">
        <v>43</v>
      </c>
      <c r="L584" t="s">
        <v>30</v>
      </c>
      <c r="M584" t="s">
        <v>36</v>
      </c>
      <c r="N584">
        <v>47</v>
      </c>
      <c r="O584" t="s">
        <v>20</v>
      </c>
    </row>
    <row r="585" spans="1:15" x14ac:dyDescent="0.25">
      <c r="A585">
        <v>584</v>
      </c>
      <c r="B585" t="s">
        <v>13</v>
      </c>
      <c r="C585" t="s">
        <v>21</v>
      </c>
      <c r="D585">
        <v>60000</v>
      </c>
      <c r="E585">
        <v>3</v>
      </c>
      <c r="F585" s="2" t="s">
        <v>45</v>
      </c>
      <c r="G585" t="s">
        <v>15</v>
      </c>
      <c r="H585" t="s">
        <v>32</v>
      </c>
      <c r="I585" t="s">
        <v>17</v>
      </c>
      <c r="J585">
        <v>2</v>
      </c>
      <c r="K585" t="s">
        <v>44</v>
      </c>
      <c r="L585" t="s">
        <v>34</v>
      </c>
      <c r="M585" t="s">
        <v>36</v>
      </c>
      <c r="N585">
        <v>66</v>
      </c>
      <c r="O585" t="s">
        <v>20</v>
      </c>
    </row>
    <row r="586" spans="1:15" x14ac:dyDescent="0.25">
      <c r="A586">
        <v>585</v>
      </c>
      <c r="B586" t="s">
        <v>26</v>
      </c>
      <c r="C586" t="s">
        <v>21</v>
      </c>
      <c r="D586">
        <v>70000</v>
      </c>
      <c r="E586">
        <v>2</v>
      </c>
      <c r="F586" s="2" t="s">
        <v>45</v>
      </c>
      <c r="G586" t="s">
        <v>15</v>
      </c>
      <c r="H586" t="s">
        <v>16</v>
      </c>
      <c r="I586" t="s">
        <v>20</v>
      </c>
      <c r="J586">
        <v>1</v>
      </c>
      <c r="K586" t="s">
        <v>44</v>
      </c>
      <c r="L586" t="s">
        <v>18</v>
      </c>
      <c r="M586" t="s">
        <v>36</v>
      </c>
      <c r="N586">
        <v>37</v>
      </c>
      <c r="O586" t="s">
        <v>17</v>
      </c>
    </row>
    <row r="587" spans="1:15" x14ac:dyDescent="0.25">
      <c r="A587">
        <v>586</v>
      </c>
      <c r="B587" t="s">
        <v>26</v>
      </c>
      <c r="C587" t="s">
        <v>21</v>
      </c>
      <c r="D587">
        <v>120000</v>
      </c>
      <c r="E587">
        <v>2</v>
      </c>
      <c r="F587" s="2" t="s">
        <v>45</v>
      </c>
      <c r="G587" t="s">
        <v>15</v>
      </c>
      <c r="H587" t="s">
        <v>32</v>
      </c>
      <c r="I587" t="s">
        <v>20</v>
      </c>
      <c r="J587">
        <v>3</v>
      </c>
      <c r="K587" t="s">
        <v>44</v>
      </c>
      <c r="L587" t="s">
        <v>18</v>
      </c>
      <c r="M587" t="s">
        <v>36</v>
      </c>
      <c r="N587">
        <v>39</v>
      </c>
      <c r="O587" t="s">
        <v>17</v>
      </c>
    </row>
    <row r="588" spans="1:15" x14ac:dyDescent="0.25">
      <c r="A588">
        <v>587</v>
      </c>
      <c r="B588" t="s">
        <v>13</v>
      </c>
      <c r="C588" t="s">
        <v>21</v>
      </c>
      <c r="D588">
        <v>60000</v>
      </c>
      <c r="E588">
        <v>2</v>
      </c>
      <c r="F588" s="2" t="s">
        <v>45</v>
      </c>
      <c r="G588" t="s">
        <v>31</v>
      </c>
      <c r="H588" t="s">
        <v>24</v>
      </c>
      <c r="I588" t="s">
        <v>20</v>
      </c>
      <c r="J588">
        <v>2</v>
      </c>
      <c r="K588" t="s">
        <v>44</v>
      </c>
      <c r="L588" t="s">
        <v>30</v>
      </c>
      <c r="M588" t="s">
        <v>36</v>
      </c>
      <c r="N588">
        <v>51</v>
      </c>
      <c r="O588" t="s">
        <v>20</v>
      </c>
    </row>
    <row r="589" spans="1:15" x14ac:dyDescent="0.25">
      <c r="A589">
        <v>588</v>
      </c>
      <c r="B589" t="s">
        <v>13</v>
      </c>
      <c r="C589" t="s">
        <v>14</v>
      </c>
      <c r="D589">
        <v>130000</v>
      </c>
      <c r="E589">
        <v>0</v>
      </c>
      <c r="F589" s="2" t="s">
        <v>46</v>
      </c>
      <c r="G589" t="s">
        <v>35</v>
      </c>
      <c r="H589" t="s">
        <v>32</v>
      </c>
      <c r="I589" t="s">
        <v>17</v>
      </c>
      <c r="J589">
        <v>3</v>
      </c>
      <c r="K589" t="s">
        <v>44</v>
      </c>
      <c r="L589" t="s">
        <v>30</v>
      </c>
      <c r="M589" t="s">
        <v>36</v>
      </c>
      <c r="N589">
        <v>40</v>
      </c>
      <c r="O589" t="s">
        <v>20</v>
      </c>
    </row>
    <row r="590" spans="1:15" x14ac:dyDescent="0.25">
      <c r="A590">
        <v>589</v>
      </c>
      <c r="B590" t="s">
        <v>13</v>
      </c>
      <c r="C590" t="s">
        <v>14</v>
      </c>
      <c r="D590">
        <v>90000</v>
      </c>
      <c r="E590">
        <v>2</v>
      </c>
      <c r="F590" s="2" t="s">
        <v>45</v>
      </c>
      <c r="G590" t="s">
        <v>31</v>
      </c>
      <c r="H590" t="s">
        <v>24</v>
      </c>
      <c r="I590" t="s">
        <v>17</v>
      </c>
      <c r="J590">
        <v>1</v>
      </c>
      <c r="K590" t="s">
        <v>44</v>
      </c>
      <c r="L590" t="s">
        <v>34</v>
      </c>
      <c r="M590" t="s">
        <v>36</v>
      </c>
      <c r="N590">
        <v>51</v>
      </c>
      <c r="O590" t="s">
        <v>17</v>
      </c>
    </row>
    <row r="591" spans="1:15" x14ac:dyDescent="0.25">
      <c r="A591">
        <v>590</v>
      </c>
      <c r="B591" t="s">
        <v>26</v>
      </c>
      <c r="C591" t="s">
        <v>21</v>
      </c>
      <c r="D591">
        <v>60000</v>
      </c>
      <c r="E591">
        <v>2</v>
      </c>
      <c r="F591" s="2" t="s">
        <v>45</v>
      </c>
      <c r="G591" t="s">
        <v>15</v>
      </c>
      <c r="H591" t="s">
        <v>32</v>
      </c>
      <c r="I591" t="s">
        <v>17</v>
      </c>
      <c r="J591">
        <v>0</v>
      </c>
      <c r="K591" t="s">
        <v>43</v>
      </c>
      <c r="L591" t="s">
        <v>34</v>
      </c>
      <c r="M591" t="s">
        <v>36</v>
      </c>
      <c r="N591">
        <v>57</v>
      </c>
      <c r="O591" t="s">
        <v>20</v>
      </c>
    </row>
    <row r="592" spans="1:15" x14ac:dyDescent="0.25">
      <c r="A592">
        <v>591</v>
      </c>
      <c r="B592" t="s">
        <v>13</v>
      </c>
      <c r="C592" t="s">
        <v>14</v>
      </c>
      <c r="D592">
        <v>60000</v>
      </c>
      <c r="E592">
        <v>1</v>
      </c>
      <c r="F592" s="2" t="s">
        <v>45</v>
      </c>
      <c r="G592" t="s">
        <v>35</v>
      </c>
      <c r="H592" t="s">
        <v>24</v>
      </c>
      <c r="I592" t="s">
        <v>20</v>
      </c>
      <c r="J592">
        <v>0</v>
      </c>
      <c r="K592" t="s">
        <v>43</v>
      </c>
      <c r="L592" t="s">
        <v>18</v>
      </c>
      <c r="M592" t="s">
        <v>36</v>
      </c>
      <c r="N592">
        <v>35</v>
      </c>
      <c r="O592" t="s">
        <v>17</v>
      </c>
    </row>
    <row r="593" spans="1:15" x14ac:dyDescent="0.25">
      <c r="A593">
        <v>592</v>
      </c>
      <c r="B593" t="s">
        <v>13</v>
      </c>
      <c r="C593" t="s">
        <v>21</v>
      </c>
      <c r="D593">
        <v>40000</v>
      </c>
      <c r="E593">
        <v>4</v>
      </c>
      <c r="F593" s="2" t="s">
        <v>45</v>
      </c>
      <c r="G593" t="s">
        <v>31</v>
      </c>
      <c r="H593" t="s">
        <v>24</v>
      </c>
      <c r="I593" t="s">
        <v>20</v>
      </c>
      <c r="J593">
        <v>2</v>
      </c>
      <c r="K593" t="s">
        <v>44</v>
      </c>
      <c r="L593" t="s">
        <v>34</v>
      </c>
      <c r="M593" t="s">
        <v>36</v>
      </c>
      <c r="N593">
        <v>61</v>
      </c>
      <c r="O593" t="s">
        <v>17</v>
      </c>
    </row>
    <row r="594" spans="1:15" x14ac:dyDescent="0.25">
      <c r="A594">
        <v>593</v>
      </c>
      <c r="B594" t="s">
        <v>26</v>
      </c>
      <c r="C594" t="s">
        <v>14</v>
      </c>
      <c r="D594">
        <v>80000</v>
      </c>
      <c r="E594">
        <v>5</v>
      </c>
      <c r="F594" s="2" t="s">
        <v>45</v>
      </c>
      <c r="G594" t="s">
        <v>22</v>
      </c>
      <c r="H594" t="s">
        <v>24</v>
      </c>
      <c r="I594" t="s">
        <v>17</v>
      </c>
      <c r="J594">
        <v>2</v>
      </c>
      <c r="K594" t="s">
        <v>44</v>
      </c>
      <c r="L594" t="s">
        <v>27</v>
      </c>
      <c r="M594" t="s">
        <v>36</v>
      </c>
      <c r="N594">
        <v>44</v>
      </c>
      <c r="O594" t="s">
        <v>20</v>
      </c>
    </row>
    <row r="595" spans="1:15" x14ac:dyDescent="0.25">
      <c r="A595">
        <v>594</v>
      </c>
      <c r="B595" t="s">
        <v>26</v>
      </c>
      <c r="C595" t="s">
        <v>14</v>
      </c>
      <c r="D595">
        <v>70000</v>
      </c>
      <c r="E595">
        <v>2</v>
      </c>
      <c r="F595" s="2" t="s">
        <v>45</v>
      </c>
      <c r="G595" t="s">
        <v>22</v>
      </c>
      <c r="H595" t="s">
        <v>24</v>
      </c>
      <c r="I595" t="s">
        <v>17</v>
      </c>
      <c r="J595">
        <v>0</v>
      </c>
      <c r="K595" t="s">
        <v>43</v>
      </c>
      <c r="L595" t="s">
        <v>27</v>
      </c>
      <c r="M595" t="s">
        <v>36</v>
      </c>
      <c r="N595">
        <v>49</v>
      </c>
      <c r="O595" t="s">
        <v>17</v>
      </c>
    </row>
    <row r="596" spans="1:15" x14ac:dyDescent="0.25">
      <c r="A596">
        <v>595</v>
      </c>
      <c r="B596" t="s">
        <v>13</v>
      </c>
      <c r="C596" t="s">
        <v>21</v>
      </c>
      <c r="D596">
        <v>80000</v>
      </c>
      <c r="E596">
        <v>4</v>
      </c>
      <c r="F596" s="2" t="s">
        <v>45</v>
      </c>
      <c r="G596" t="s">
        <v>35</v>
      </c>
      <c r="H596" t="s">
        <v>32</v>
      </c>
      <c r="I596" t="s">
        <v>17</v>
      </c>
      <c r="J596">
        <v>2</v>
      </c>
      <c r="K596" t="s">
        <v>44</v>
      </c>
      <c r="L596" t="s">
        <v>27</v>
      </c>
      <c r="M596" t="s">
        <v>36</v>
      </c>
      <c r="N596">
        <v>70</v>
      </c>
      <c r="O596" t="s">
        <v>20</v>
      </c>
    </row>
    <row r="597" spans="1:15" x14ac:dyDescent="0.25">
      <c r="A597">
        <v>596</v>
      </c>
      <c r="B597" t="s">
        <v>26</v>
      </c>
      <c r="C597" t="s">
        <v>14</v>
      </c>
      <c r="D597">
        <v>20000</v>
      </c>
      <c r="E597">
        <v>3</v>
      </c>
      <c r="F597" s="2" t="s">
        <v>45</v>
      </c>
      <c r="G597" t="s">
        <v>31</v>
      </c>
      <c r="H597" t="s">
        <v>16</v>
      </c>
      <c r="I597" t="s">
        <v>17</v>
      </c>
      <c r="J597">
        <v>2</v>
      </c>
      <c r="K597" t="s">
        <v>44</v>
      </c>
      <c r="L597" t="s">
        <v>25</v>
      </c>
      <c r="M597" t="s">
        <v>36</v>
      </c>
      <c r="N597">
        <v>78</v>
      </c>
      <c r="O597" t="s">
        <v>20</v>
      </c>
    </row>
    <row r="598" spans="1:15" x14ac:dyDescent="0.25">
      <c r="A598">
        <v>597</v>
      </c>
      <c r="B598" t="s">
        <v>13</v>
      </c>
      <c r="C598" t="s">
        <v>14</v>
      </c>
      <c r="D598">
        <v>90000</v>
      </c>
      <c r="E598">
        <v>4</v>
      </c>
      <c r="F598" s="2" t="s">
        <v>45</v>
      </c>
      <c r="G598" t="s">
        <v>22</v>
      </c>
      <c r="H598" t="s">
        <v>24</v>
      </c>
      <c r="I598" t="s">
        <v>17</v>
      </c>
      <c r="J598">
        <v>1</v>
      </c>
      <c r="K598" t="s">
        <v>44</v>
      </c>
      <c r="L598" t="s">
        <v>30</v>
      </c>
      <c r="M598" t="s">
        <v>36</v>
      </c>
      <c r="N598">
        <v>45</v>
      </c>
      <c r="O598" t="s">
        <v>20</v>
      </c>
    </row>
    <row r="599" spans="1:15" x14ac:dyDescent="0.25">
      <c r="A599">
        <v>598</v>
      </c>
      <c r="B599" t="s">
        <v>26</v>
      </c>
      <c r="C599" t="s">
        <v>21</v>
      </c>
      <c r="D599">
        <v>40000</v>
      </c>
      <c r="E599">
        <v>2</v>
      </c>
      <c r="F599" s="2" t="s">
        <v>45</v>
      </c>
      <c r="G599" t="s">
        <v>31</v>
      </c>
      <c r="H599" t="s">
        <v>24</v>
      </c>
      <c r="I599" t="s">
        <v>20</v>
      </c>
      <c r="J599">
        <v>1</v>
      </c>
      <c r="K599" t="s">
        <v>44</v>
      </c>
      <c r="L599" t="s">
        <v>25</v>
      </c>
      <c r="M599" t="s">
        <v>36</v>
      </c>
      <c r="N599">
        <v>58</v>
      </c>
      <c r="O599" t="s">
        <v>17</v>
      </c>
    </row>
    <row r="600" spans="1:15" x14ac:dyDescent="0.25">
      <c r="A600">
        <v>599</v>
      </c>
      <c r="B600" t="s">
        <v>13</v>
      </c>
      <c r="C600" t="s">
        <v>21</v>
      </c>
      <c r="D600">
        <v>130000</v>
      </c>
      <c r="E600">
        <v>1</v>
      </c>
      <c r="F600" s="2" t="s">
        <v>45</v>
      </c>
      <c r="G600" t="s">
        <v>35</v>
      </c>
      <c r="H600" t="s">
        <v>32</v>
      </c>
      <c r="I600" t="s">
        <v>17</v>
      </c>
      <c r="J600">
        <v>4</v>
      </c>
      <c r="K600" t="s">
        <v>44</v>
      </c>
      <c r="L600" t="s">
        <v>18</v>
      </c>
      <c r="M600" t="s">
        <v>36</v>
      </c>
      <c r="N600">
        <v>41</v>
      </c>
      <c r="O600" t="s">
        <v>20</v>
      </c>
    </row>
    <row r="601" spans="1:15" x14ac:dyDescent="0.25">
      <c r="A601">
        <v>600</v>
      </c>
      <c r="B601" t="s">
        <v>13</v>
      </c>
      <c r="C601" t="s">
        <v>14</v>
      </c>
      <c r="D601">
        <v>60000</v>
      </c>
      <c r="E601">
        <v>2</v>
      </c>
      <c r="F601" s="2" t="s">
        <v>45</v>
      </c>
      <c r="G601" t="s">
        <v>22</v>
      </c>
      <c r="H601" t="s">
        <v>24</v>
      </c>
      <c r="I601" t="s">
        <v>17</v>
      </c>
      <c r="J601">
        <v>1</v>
      </c>
      <c r="K601" t="s">
        <v>44</v>
      </c>
      <c r="L601" t="s">
        <v>25</v>
      </c>
      <c r="M601" t="s">
        <v>36</v>
      </c>
      <c r="N601">
        <v>57</v>
      </c>
      <c r="O601" t="s">
        <v>17</v>
      </c>
    </row>
    <row r="602" spans="1:15" x14ac:dyDescent="0.25">
      <c r="A602">
        <v>601</v>
      </c>
      <c r="B602" t="s">
        <v>13</v>
      </c>
      <c r="C602" t="s">
        <v>21</v>
      </c>
      <c r="D602">
        <v>30000</v>
      </c>
      <c r="E602">
        <v>2</v>
      </c>
      <c r="F602" s="2" t="s">
        <v>45</v>
      </c>
      <c r="G602" t="s">
        <v>31</v>
      </c>
      <c r="H602" t="s">
        <v>16</v>
      </c>
      <c r="I602" t="s">
        <v>20</v>
      </c>
      <c r="J602">
        <v>2</v>
      </c>
      <c r="K602" t="s">
        <v>44</v>
      </c>
      <c r="L602" t="s">
        <v>18</v>
      </c>
      <c r="M602" t="s">
        <v>36</v>
      </c>
      <c r="N602">
        <v>49</v>
      </c>
      <c r="O602" t="s">
        <v>20</v>
      </c>
    </row>
    <row r="603" spans="1:15" x14ac:dyDescent="0.25">
      <c r="A603">
        <v>602</v>
      </c>
      <c r="B603" t="s">
        <v>26</v>
      </c>
      <c r="C603" t="s">
        <v>21</v>
      </c>
      <c r="D603">
        <v>80000</v>
      </c>
      <c r="E603">
        <v>4</v>
      </c>
      <c r="F603" s="2" t="s">
        <v>45</v>
      </c>
      <c r="G603" t="s">
        <v>22</v>
      </c>
      <c r="H603" t="s">
        <v>24</v>
      </c>
      <c r="I603" t="s">
        <v>20</v>
      </c>
      <c r="J603">
        <v>2</v>
      </c>
      <c r="K603" t="s">
        <v>44</v>
      </c>
      <c r="L603" t="s">
        <v>18</v>
      </c>
      <c r="M603" t="s">
        <v>36</v>
      </c>
      <c r="N603">
        <v>43</v>
      </c>
      <c r="O603" t="s">
        <v>20</v>
      </c>
    </row>
    <row r="604" spans="1:15" x14ac:dyDescent="0.25">
      <c r="A604">
        <v>603</v>
      </c>
      <c r="B604" t="s">
        <v>26</v>
      </c>
      <c r="C604" t="s">
        <v>21</v>
      </c>
      <c r="D604">
        <v>60000</v>
      </c>
      <c r="E604">
        <v>2</v>
      </c>
      <c r="F604" s="2" t="s">
        <v>45</v>
      </c>
      <c r="G604" t="s">
        <v>33</v>
      </c>
      <c r="H604" t="s">
        <v>16</v>
      </c>
      <c r="I604" t="s">
        <v>17</v>
      </c>
      <c r="J604">
        <v>2</v>
      </c>
      <c r="K604" t="s">
        <v>44</v>
      </c>
      <c r="L604" t="s">
        <v>27</v>
      </c>
      <c r="M604" t="s">
        <v>36</v>
      </c>
      <c r="N604">
        <v>52</v>
      </c>
      <c r="O604" t="s">
        <v>17</v>
      </c>
    </row>
    <row r="605" spans="1:15" x14ac:dyDescent="0.25">
      <c r="A605">
        <v>604</v>
      </c>
      <c r="B605" t="s">
        <v>13</v>
      </c>
      <c r="C605" t="s">
        <v>21</v>
      </c>
      <c r="D605">
        <v>60000</v>
      </c>
      <c r="E605">
        <v>1</v>
      </c>
      <c r="F605" s="2" t="s">
        <v>45</v>
      </c>
      <c r="G605" t="s">
        <v>35</v>
      </c>
      <c r="H605" t="s">
        <v>24</v>
      </c>
      <c r="I605" t="s">
        <v>17</v>
      </c>
      <c r="J605">
        <v>0</v>
      </c>
      <c r="K605" t="s">
        <v>43</v>
      </c>
      <c r="L605" t="s">
        <v>18</v>
      </c>
      <c r="M605" t="s">
        <v>36</v>
      </c>
      <c r="N605">
        <v>35</v>
      </c>
      <c r="O605" t="s">
        <v>17</v>
      </c>
    </row>
    <row r="606" spans="1:15" x14ac:dyDescent="0.25">
      <c r="A606">
        <v>605</v>
      </c>
      <c r="B606" t="s">
        <v>13</v>
      </c>
      <c r="C606" t="s">
        <v>21</v>
      </c>
      <c r="D606">
        <v>40000</v>
      </c>
      <c r="E606">
        <v>0</v>
      </c>
      <c r="F606" s="2" t="s">
        <v>46</v>
      </c>
      <c r="G606" t="s">
        <v>31</v>
      </c>
      <c r="H606" t="s">
        <v>16</v>
      </c>
      <c r="I606" t="s">
        <v>17</v>
      </c>
      <c r="J606">
        <v>2</v>
      </c>
      <c r="K606" t="s">
        <v>44</v>
      </c>
      <c r="L606" t="s">
        <v>27</v>
      </c>
      <c r="M606" t="s">
        <v>36</v>
      </c>
      <c r="N606">
        <v>27</v>
      </c>
      <c r="O606" t="s">
        <v>20</v>
      </c>
    </row>
    <row r="607" spans="1:15" x14ac:dyDescent="0.25">
      <c r="A607">
        <v>606</v>
      </c>
      <c r="B607" t="s">
        <v>26</v>
      </c>
      <c r="C607" t="s">
        <v>21</v>
      </c>
      <c r="D607">
        <v>70000</v>
      </c>
      <c r="E607">
        <v>3</v>
      </c>
      <c r="F607" s="2" t="s">
        <v>45</v>
      </c>
      <c r="G607" t="s">
        <v>31</v>
      </c>
      <c r="H607" t="s">
        <v>24</v>
      </c>
      <c r="I607" t="s">
        <v>17</v>
      </c>
      <c r="J607">
        <v>0</v>
      </c>
      <c r="K607" t="s">
        <v>43</v>
      </c>
      <c r="L607" t="s">
        <v>27</v>
      </c>
      <c r="M607" t="s">
        <v>36</v>
      </c>
      <c r="N607">
        <v>52</v>
      </c>
      <c r="O607" t="s">
        <v>17</v>
      </c>
    </row>
    <row r="608" spans="1:15" x14ac:dyDescent="0.25">
      <c r="A608">
        <v>607</v>
      </c>
      <c r="B608" t="s">
        <v>26</v>
      </c>
      <c r="C608" t="s">
        <v>21</v>
      </c>
      <c r="D608">
        <v>40000</v>
      </c>
      <c r="E608">
        <v>2</v>
      </c>
      <c r="F608" s="2" t="s">
        <v>45</v>
      </c>
      <c r="G608" t="s">
        <v>15</v>
      </c>
      <c r="H608" t="s">
        <v>16</v>
      </c>
      <c r="I608" t="s">
        <v>17</v>
      </c>
      <c r="J608">
        <v>0</v>
      </c>
      <c r="K608" t="s">
        <v>43</v>
      </c>
      <c r="L608" t="s">
        <v>25</v>
      </c>
      <c r="M608" t="s">
        <v>36</v>
      </c>
      <c r="N608">
        <v>36</v>
      </c>
      <c r="O608" t="s">
        <v>20</v>
      </c>
    </row>
    <row r="609" spans="1:15" x14ac:dyDescent="0.25">
      <c r="A609">
        <v>608</v>
      </c>
      <c r="B609" t="s">
        <v>26</v>
      </c>
      <c r="C609" t="s">
        <v>14</v>
      </c>
      <c r="D609">
        <v>70000</v>
      </c>
      <c r="E609">
        <v>5</v>
      </c>
      <c r="F609" s="2" t="s">
        <v>45</v>
      </c>
      <c r="G609" t="s">
        <v>35</v>
      </c>
      <c r="H609" t="s">
        <v>24</v>
      </c>
      <c r="I609" t="s">
        <v>17</v>
      </c>
      <c r="J609">
        <v>3</v>
      </c>
      <c r="K609" t="s">
        <v>44</v>
      </c>
      <c r="L609" t="s">
        <v>34</v>
      </c>
      <c r="M609" t="s">
        <v>36</v>
      </c>
      <c r="N609">
        <v>46</v>
      </c>
      <c r="O609" t="s">
        <v>17</v>
      </c>
    </row>
    <row r="610" spans="1:15" x14ac:dyDescent="0.25">
      <c r="A610">
        <v>609</v>
      </c>
      <c r="B610" t="s">
        <v>13</v>
      </c>
      <c r="C610" t="s">
        <v>21</v>
      </c>
      <c r="D610">
        <v>60000</v>
      </c>
      <c r="E610">
        <v>3</v>
      </c>
      <c r="F610" s="2" t="s">
        <v>45</v>
      </c>
      <c r="G610" t="s">
        <v>33</v>
      </c>
      <c r="H610" t="s">
        <v>16</v>
      </c>
      <c r="I610" t="s">
        <v>17</v>
      </c>
      <c r="J610">
        <v>2</v>
      </c>
      <c r="K610" t="s">
        <v>44</v>
      </c>
      <c r="L610" t="s">
        <v>27</v>
      </c>
      <c r="M610" t="s">
        <v>36</v>
      </c>
      <c r="N610">
        <v>52</v>
      </c>
      <c r="O610" t="s">
        <v>17</v>
      </c>
    </row>
    <row r="611" spans="1:15" x14ac:dyDescent="0.25">
      <c r="A611">
        <v>610</v>
      </c>
      <c r="B611" t="s">
        <v>13</v>
      </c>
      <c r="C611" t="s">
        <v>21</v>
      </c>
      <c r="D611">
        <v>70000</v>
      </c>
      <c r="E611">
        <v>0</v>
      </c>
      <c r="F611" s="2" t="s">
        <v>46</v>
      </c>
      <c r="G611" t="s">
        <v>15</v>
      </c>
      <c r="H611" t="s">
        <v>24</v>
      </c>
      <c r="I611" t="s">
        <v>20</v>
      </c>
      <c r="J611">
        <v>1</v>
      </c>
      <c r="K611" t="s">
        <v>44</v>
      </c>
      <c r="L611" t="s">
        <v>18</v>
      </c>
      <c r="M611" t="s">
        <v>36</v>
      </c>
      <c r="N611">
        <v>43</v>
      </c>
      <c r="O611" t="s">
        <v>20</v>
      </c>
    </row>
    <row r="612" spans="1:15" x14ac:dyDescent="0.25">
      <c r="A612">
        <v>611</v>
      </c>
      <c r="B612" t="s">
        <v>13</v>
      </c>
      <c r="C612" t="s">
        <v>21</v>
      </c>
      <c r="D612">
        <v>60000</v>
      </c>
      <c r="E612">
        <v>1</v>
      </c>
      <c r="F612" s="2" t="s">
        <v>45</v>
      </c>
      <c r="G612" t="s">
        <v>22</v>
      </c>
      <c r="H612" t="s">
        <v>16</v>
      </c>
      <c r="I612" t="s">
        <v>17</v>
      </c>
      <c r="J612">
        <v>1</v>
      </c>
      <c r="K612" t="s">
        <v>44</v>
      </c>
      <c r="L612" t="s">
        <v>25</v>
      </c>
      <c r="M612" t="s">
        <v>36</v>
      </c>
      <c r="N612">
        <v>44</v>
      </c>
      <c r="O612" t="s">
        <v>20</v>
      </c>
    </row>
    <row r="613" spans="1:15" x14ac:dyDescent="0.25">
      <c r="A613">
        <v>612</v>
      </c>
      <c r="B613" t="s">
        <v>13</v>
      </c>
      <c r="C613" t="s">
        <v>14</v>
      </c>
      <c r="D613">
        <v>80000</v>
      </c>
      <c r="E613">
        <v>0</v>
      </c>
      <c r="F613" s="2" t="s">
        <v>46</v>
      </c>
      <c r="G613" t="s">
        <v>15</v>
      </c>
      <c r="H613" t="s">
        <v>32</v>
      </c>
      <c r="I613" t="s">
        <v>17</v>
      </c>
      <c r="J613">
        <v>1</v>
      </c>
      <c r="K613" t="s">
        <v>44</v>
      </c>
      <c r="L613" t="s">
        <v>30</v>
      </c>
      <c r="M613" t="s">
        <v>36</v>
      </c>
      <c r="N613">
        <v>34</v>
      </c>
      <c r="O613" t="s">
        <v>17</v>
      </c>
    </row>
    <row r="614" spans="1:15" x14ac:dyDescent="0.25">
      <c r="A614">
        <v>613</v>
      </c>
      <c r="B614" t="s">
        <v>26</v>
      </c>
      <c r="C614" t="s">
        <v>14</v>
      </c>
      <c r="D614">
        <v>30000</v>
      </c>
      <c r="E614">
        <v>0</v>
      </c>
      <c r="F614" s="2" t="s">
        <v>46</v>
      </c>
      <c r="G614" t="s">
        <v>33</v>
      </c>
      <c r="H614" t="s">
        <v>23</v>
      </c>
      <c r="I614" t="s">
        <v>17</v>
      </c>
      <c r="J614">
        <v>2</v>
      </c>
      <c r="K614" t="s">
        <v>44</v>
      </c>
      <c r="L614" t="s">
        <v>27</v>
      </c>
      <c r="M614" t="s">
        <v>36</v>
      </c>
      <c r="N614">
        <v>27</v>
      </c>
      <c r="O614" t="s">
        <v>20</v>
      </c>
    </row>
    <row r="615" spans="1:15" x14ac:dyDescent="0.25">
      <c r="A615">
        <v>614</v>
      </c>
      <c r="B615" t="s">
        <v>26</v>
      </c>
      <c r="C615" t="s">
        <v>21</v>
      </c>
      <c r="D615">
        <v>110000</v>
      </c>
      <c r="E615">
        <v>1</v>
      </c>
      <c r="F615" s="2" t="s">
        <v>45</v>
      </c>
      <c r="G615" t="s">
        <v>22</v>
      </c>
      <c r="H615" t="s">
        <v>24</v>
      </c>
      <c r="I615" t="s">
        <v>17</v>
      </c>
      <c r="J615">
        <v>4</v>
      </c>
      <c r="K615" t="s">
        <v>44</v>
      </c>
      <c r="L615" t="s">
        <v>27</v>
      </c>
      <c r="M615" t="s">
        <v>36</v>
      </c>
      <c r="N615">
        <v>45</v>
      </c>
      <c r="O615" t="s">
        <v>17</v>
      </c>
    </row>
    <row r="616" spans="1:15" x14ac:dyDescent="0.25">
      <c r="A616">
        <v>615</v>
      </c>
      <c r="B616" t="s">
        <v>13</v>
      </c>
      <c r="C616" t="s">
        <v>14</v>
      </c>
      <c r="D616">
        <v>100000</v>
      </c>
      <c r="E616">
        <v>3</v>
      </c>
      <c r="F616" s="2" t="s">
        <v>45</v>
      </c>
      <c r="G616" t="s">
        <v>22</v>
      </c>
      <c r="H616" t="s">
        <v>24</v>
      </c>
      <c r="I616" t="s">
        <v>17</v>
      </c>
      <c r="J616">
        <v>4</v>
      </c>
      <c r="K616" t="s">
        <v>44</v>
      </c>
      <c r="L616" t="s">
        <v>30</v>
      </c>
      <c r="M616" t="s">
        <v>36</v>
      </c>
      <c r="N616">
        <v>45</v>
      </c>
      <c r="O616" t="s">
        <v>20</v>
      </c>
    </row>
    <row r="617" spans="1:15" x14ac:dyDescent="0.25">
      <c r="A617">
        <v>616</v>
      </c>
      <c r="B617" t="s">
        <v>26</v>
      </c>
      <c r="C617" t="s">
        <v>14</v>
      </c>
      <c r="D617">
        <v>60000</v>
      </c>
      <c r="E617">
        <v>4</v>
      </c>
      <c r="F617" s="2" t="s">
        <v>45</v>
      </c>
      <c r="G617" t="s">
        <v>35</v>
      </c>
      <c r="H617" t="s">
        <v>16</v>
      </c>
      <c r="I617" t="s">
        <v>20</v>
      </c>
      <c r="J617">
        <v>0</v>
      </c>
      <c r="K617" t="s">
        <v>43</v>
      </c>
      <c r="L617" t="s">
        <v>18</v>
      </c>
      <c r="M617" t="s">
        <v>36</v>
      </c>
      <c r="N617">
        <v>47</v>
      </c>
      <c r="O617" t="s">
        <v>17</v>
      </c>
    </row>
    <row r="618" spans="1:15" x14ac:dyDescent="0.25">
      <c r="A618">
        <v>617</v>
      </c>
      <c r="B618" t="s">
        <v>26</v>
      </c>
      <c r="C618" t="s">
        <v>14</v>
      </c>
      <c r="D618">
        <v>80000</v>
      </c>
      <c r="E618">
        <v>4</v>
      </c>
      <c r="F618" s="2" t="s">
        <v>45</v>
      </c>
      <c r="G618" t="s">
        <v>35</v>
      </c>
      <c r="H618" t="s">
        <v>16</v>
      </c>
      <c r="I618" t="s">
        <v>17</v>
      </c>
      <c r="J618">
        <v>0</v>
      </c>
      <c r="K618" t="s">
        <v>43</v>
      </c>
      <c r="L618" t="s">
        <v>30</v>
      </c>
      <c r="M618" t="s">
        <v>36</v>
      </c>
      <c r="N618">
        <v>47</v>
      </c>
      <c r="O618" t="s">
        <v>20</v>
      </c>
    </row>
    <row r="619" spans="1:15" x14ac:dyDescent="0.25">
      <c r="A619">
        <v>618</v>
      </c>
      <c r="B619" t="s">
        <v>13</v>
      </c>
      <c r="C619" t="s">
        <v>21</v>
      </c>
      <c r="D619">
        <v>40000</v>
      </c>
      <c r="E619">
        <v>4</v>
      </c>
      <c r="F619" s="2" t="s">
        <v>45</v>
      </c>
      <c r="G619" t="s">
        <v>31</v>
      </c>
      <c r="H619" t="s">
        <v>16</v>
      </c>
      <c r="I619" t="s">
        <v>17</v>
      </c>
      <c r="J619">
        <v>2</v>
      </c>
      <c r="K619" t="s">
        <v>44</v>
      </c>
      <c r="L619" t="s">
        <v>25</v>
      </c>
      <c r="M619" t="s">
        <v>36</v>
      </c>
      <c r="N619">
        <v>44</v>
      </c>
      <c r="O619" t="s">
        <v>17</v>
      </c>
    </row>
    <row r="620" spans="1:15" x14ac:dyDescent="0.25">
      <c r="A620">
        <v>619</v>
      </c>
      <c r="B620" t="s">
        <v>26</v>
      </c>
      <c r="C620" t="s">
        <v>14</v>
      </c>
      <c r="D620">
        <v>20000</v>
      </c>
      <c r="E620">
        <v>3</v>
      </c>
      <c r="F620" s="2" t="s">
        <v>45</v>
      </c>
      <c r="G620" t="s">
        <v>33</v>
      </c>
      <c r="H620" t="s">
        <v>23</v>
      </c>
      <c r="I620" t="s">
        <v>20</v>
      </c>
      <c r="J620">
        <v>2</v>
      </c>
      <c r="K620" t="s">
        <v>44</v>
      </c>
      <c r="L620" t="s">
        <v>18</v>
      </c>
      <c r="M620" t="s">
        <v>36</v>
      </c>
      <c r="N620">
        <v>49</v>
      </c>
      <c r="O620" t="s">
        <v>20</v>
      </c>
    </row>
    <row r="621" spans="1:15" x14ac:dyDescent="0.25">
      <c r="A621">
        <v>620</v>
      </c>
      <c r="B621" t="s">
        <v>26</v>
      </c>
      <c r="C621" t="s">
        <v>14</v>
      </c>
      <c r="D621">
        <v>40000</v>
      </c>
      <c r="E621">
        <v>0</v>
      </c>
      <c r="F621" s="2" t="s">
        <v>46</v>
      </c>
      <c r="G621" t="s">
        <v>31</v>
      </c>
      <c r="H621" t="s">
        <v>16</v>
      </c>
      <c r="I621" t="s">
        <v>17</v>
      </c>
      <c r="J621">
        <v>1</v>
      </c>
      <c r="K621" t="s">
        <v>44</v>
      </c>
      <c r="L621" t="s">
        <v>27</v>
      </c>
      <c r="M621" t="s">
        <v>36</v>
      </c>
      <c r="N621">
        <v>30</v>
      </c>
      <c r="O621" t="s">
        <v>20</v>
      </c>
    </row>
    <row r="622" spans="1:15" x14ac:dyDescent="0.25">
      <c r="A622">
        <v>621</v>
      </c>
      <c r="B622" t="s">
        <v>13</v>
      </c>
      <c r="C622" t="s">
        <v>14</v>
      </c>
      <c r="D622">
        <v>100000</v>
      </c>
      <c r="E622">
        <v>4</v>
      </c>
      <c r="F622" s="2" t="s">
        <v>45</v>
      </c>
      <c r="G622" t="s">
        <v>22</v>
      </c>
      <c r="H622" t="s">
        <v>24</v>
      </c>
      <c r="I622" t="s">
        <v>17</v>
      </c>
      <c r="J622">
        <v>4</v>
      </c>
      <c r="K622" t="s">
        <v>44</v>
      </c>
      <c r="L622" t="s">
        <v>25</v>
      </c>
      <c r="M622" t="s">
        <v>36</v>
      </c>
      <c r="N622">
        <v>41</v>
      </c>
      <c r="O622" t="s">
        <v>17</v>
      </c>
    </row>
    <row r="623" spans="1:15" x14ac:dyDescent="0.25">
      <c r="A623">
        <v>622</v>
      </c>
      <c r="B623" t="s">
        <v>13</v>
      </c>
      <c r="C623" t="s">
        <v>21</v>
      </c>
      <c r="D623">
        <v>70000</v>
      </c>
      <c r="E623">
        <v>4</v>
      </c>
      <c r="F623" s="2" t="s">
        <v>45</v>
      </c>
      <c r="G623" t="s">
        <v>15</v>
      </c>
      <c r="H623" t="s">
        <v>32</v>
      </c>
      <c r="I623" t="s">
        <v>17</v>
      </c>
      <c r="J623">
        <v>1</v>
      </c>
      <c r="K623" t="s">
        <v>44</v>
      </c>
      <c r="L623" t="s">
        <v>30</v>
      </c>
      <c r="M623" t="s">
        <v>36</v>
      </c>
      <c r="N623">
        <v>58</v>
      </c>
      <c r="O623" t="s">
        <v>20</v>
      </c>
    </row>
    <row r="624" spans="1:15" x14ac:dyDescent="0.25">
      <c r="A624">
        <v>623</v>
      </c>
      <c r="B624" t="s">
        <v>13</v>
      </c>
      <c r="C624" t="s">
        <v>21</v>
      </c>
      <c r="D624">
        <v>60000</v>
      </c>
      <c r="E624">
        <v>5</v>
      </c>
      <c r="F624" s="2" t="s">
        <v>45</v>
      </c>
      <c r="G624" t="s">
        <v>15</v>
      </c>
      <c r="H624" t="s">
        <v>24</v>
      </c>
      <c r="I624" t="s">
        <v>17</v>
      </c>
      <c r="J624">
        <v>1</v>
      </c>
      <c r="K624" t="s">
        <v>44</v>
      </c>
      <c r="L624" t="s">
        <v>25</v>
      </c>
      <c r="M624" t="s">
        <v>36</v>
      </c>
      <c r="N624">
        <v>47</v>
      </c>
      <c r="O624" t="s">
        <v>20</v>
      </c>
    </row>
    <row r="625" spans="1:15" x14ac:dyDescent="0.25">
      <c r="A625">
        <v>624</v>
      </c>
      <c r="B625" t="s">
        <v>13</v>
      </c>
      <c r="C625" t="s">
        <v>14</v>
      </c>
      <c r="D625">
        <v>70000</v>
      </c>
      <c r="E625">
        <v>4</v>
      </c>
      <c r="F625" s="2" t="s">
        <v>45</v>
      </c>
      <c r="G625" t="s">
        <v>22</v>
      </c>
      <c r="H625" t="s">
        <v>24</v>
      </c>
      <c r="I625" t="s">
        <v>17</v>
      </c>
      <c r="J625">
        <v>1</v>
      </c>
      <c r="K625" t="s">
        <v>44</v>
      </c>
      <c r="L625" t="s">
        <v>30</v>
      </c>
      <c r="M625" t="s">
        <v>36</v>
      </c>
      <c r="N625">
        <v>55</v>
      </c>
      <c r="O625" t="s">
        <v>20</v>
      </c>
    </row>
    <row r="626" spans="1:15" x14ac:dyDescent="0.25">
      <c r="A626">
        <v>625</v>
      </c>
      <c r="B626" t="s">
        <v>26</v>
      </c>
      <c r="C626" t="s">
        <v>14</v>
      </c>
      <c r="D626">
        <v>70000</v>
      </c>
      <c r="E626">
        <v>0</v>
      </c>
      <c r="F626" s="2" t="s">
        <v>46</v>
      </c>
      <c r="G626" t="s">
        <v>22</v>
      </c>
      <c r="H626" t="s">
        <v>16</v>
      </c>
      <c r="I626" t="s">
        <v>20</v>
      </c>
      <c r="J626">
        <v>2</v>
      </c>
      <c r="K626" t="s">
        <v>44</v>
      </c>
      <c r="L626" t="s">
        <v>18</v>
      </c>
      <c r="M626" t="s">
        <v>36</v>
      </c>
      <c r="N626">
        <v>27</v>
      </c>
      <c r="O626" t="s">
        <v>17</v>
      </c>
    </row>
    <row r="627" spans="1:15" x14ac:dyDescent="0.25">
      <c r="A627">
        <v>626</v>
      </c>
      <c r="B627" t="s">
        <v>13</v>
      </c>
      <c r="C627" t="s">
        <v>21</v>
      </c>
      <c r="D627">
        <v>60000</v>
      </c>
      <c r="E627">
        <v>3</v>
      </c>
      <c r="F627" s="2" t="s">
        <v>45</v>
      </c>
      <c r="G627" t="s">
        <v>35</v>
      </c>
      <c r="H627" t="s">
        <v>32</v>
      </c>
      <c r="I627" t="s">
        <v>17</v>
      </c>
      <c r="J627">
        <v>2</v>
      </c>
      <c r="K627" t="s">
        <v>44</v>
      </c>
      <c r="L627" t="s">
        <v>30</v>
      </c>
      <c r="M627" t="s">
        <v>36</v>
      </c>
      <c r="N627">
        <v>67</v>
      </c>
      <c r="O627" t="s">
        <v>20</v>
      </c>
    </row>
    <row r="628" spans="1:15" x14ac:dyDescent="0.25">
      <c r="A628">
        <v>627</v>
      </c>
      <c r="B628" t="s">
        <v>13</v>
      </c>
      <c r="C628" t="s">
        <v>14</v>
      </c>
      <c r="D628">
        <v>60000</v>
      </c>
      <c r="E628">
        <v>0</v>
      </c>
      <c r="F628" s="2" t="s">
        <v>46</v>
      </c>
      <c r="G628" t="s">
        <v>22</v>
      </c>
      <c r="H628" t="s">
        <v>16</v>
      </c>
      <c r="I628" t="s">
        <v>17</v>
      </c>
      <c r="J628">
        <v>2</v>
      </c>
      <c r="K628" t="s">
        <v>44</v>
      </c>
      <c r="L628" t="s">
        <v>27</v>
      </c>
      <c r="M628" t="s">
        <v>36</v>
      </c>
      <c r="N628">
        <v>29</v>
      </c>
      <c r="O628" t="s">
        <v>20</v>
      </c>
    </row>
    <row r="629" spans="1:15" x14ac:dyDescent="0.25">
      <c r="A629">
        <v>628</v>
      </c>
      <c r="B629" t="s">
        <v>13</v>
      </c>
      <c r="C629" t="s">
        <v>14</v>
      </c>
      <c r="D629">
        <v>60000</v>
      </c>
      <c r="E629">
        <v>3</v>
      </c>
      <c r="F629" s="2" t="s">
        <v>45</v>
      </c>
      <c r="G629" t="s">
        <v>35</v>
      </c>
      <c r="H629" t="s">
        <v>32</v>
      </c>
      <c r="I629" t="s">
        <v>17</v>
      </c>
      <c r="J629">
        <v>2</v>
      </c>
      <c r="K629" t="s">
        <v>44</v>
      </c>
      <c r="L629" t="s">
        <v>30</v>
      </c>
      <c r="M629" t="s">
        <v>36</v>
      </c>
      <c r="N629">
        <v>67</v>
      </c>
      <c r="O629" t="s">
        <v>20</v>
      </c>
    </row>
    <row r="630" spans="1:15" x14ac:dyDescent="0.25">
      <c r="A630">
        <v>629</v>
      </c>
      <c r="B630" t="s">
        <v>26</v>
      </c>
      <c r="C630" t="s">
        <v>21</v>
      </c>
      <c r="D630">
        <v>80000</v>
      </c>
      <c r="E630">
        <v>3</v>
      </c>
      <c r="F630" s="2" t="s">
        <v>45</v>
      </c>
      <c r="G630" t="s">
        <v>22</v>
      </c>
      <c r="H630" t="s">
        <v>24</v>
      </c>
      <c r="I630" t="s">
        <v>20</v>
      </c>
      <c r="J630">
        <v>1</v>
      </c>
      <c r="K630" t="s">
        <v>44</v>
      </c>
      <c r="L630" t="s">
        <v>30</v>
      </c>
      <c r="M630" t="s">
        <v>36</v>
      </c>
      <c r="N630">
        <v>51</v>
      </c>
      <c r="O630" t="s">
        <v>17</v>
      </c>
    </row>
    <row r="631" spans="1:15" x14ac:dyDescent="0.25">
      <c r="A631">
        <v>630</v>
      </c>
      <c r="B631" t="s">
        <v>13</v>
      </c>
      <c r="C631" t="s">
        <v>14</v>
      </c>
      <c r="D631">
        <v>50000</v>
      </c>
      <c r="E631">
        <v>1</v>
      </c>
      <c r="F631" s="2" t="s">
        <v>45</v>
      </c>
      <c r="G631" t="s">
        <v>35</v>
      </c>
      <c r="H631" t="s">
        <v>16</v>
      </c>
      <c r="I631" t="s">
        <v>17</v>
      </c>
      <c r="J631">
        <v>0</v>
      </c>
      <c r="K631" t="s">
        <v>43</v>
      </c>
      <c r="L631" t="s">
        <v>18</v>
      </c>
      <c r="M631" t="s">
        <v>36</v>
      </c>
      <c r="N631">
        <v>35</v>
      </c>
      <c r="O631" t="s">
        <v>20</v>
      </c>
    </row>
    <row r="632" spans="1:15" x14ac:dyDescent="0.25">
      <c r="A632">
        <v>631</v>
      </c>
      <c r="B632" t="s">
        <v>13</v>
      </c>
      <c r="C632" t="s">
        <v>21</v>
      </c>
      <c r="D632">
        <v>40000</v>
      </c>
      <c r="E632">
        <v>0</v>
      </c>
      <c r="F632" s="2" t="s">
        <v>46</v>
      </c>
      <c r="G632" t="s">
        <v>31</v>
      </c>
      <c r="H632" t="s">
        <v>16</v>
      </c>
      <c r="I632" t="s">
        <v>20</v>
      </c>
      <c r="J632">
        <v>2</v>
      </c>
      <c r="K632" t="s">
        <v>44</v>
      </c>
      <c r="L632" t="s">
        <v>30</v>
      </c>
      <c r="M632" t="s">
        <v>36</v>
      </c>
      <c r="N632">
        <v>30</v>
      </c>
      <c r="O632" t="s">
        <v>20</v>
      </c>
    </row>
    <row r="633" spans="1:15" x14ac:dyDescent="0.25">
      <c r="A633">
        <v>632</v>
      </c>
      <c r="B633" t="s">
        <v>26</v>
      </c>
      <c r="C633" t="s">
        <v>21</v>
      </c>
      <c r="D633">
        <v>70000</v>
      </c>
      <c r="E633">
        <v>5</v>
      </c>
      <c r="F633" s="2" t="s">
        <v>45</v>
      </c>
      <c r="G633" t="s">
        <v>22</v>
      </c>
      <c r="H633" t="s">
        <v>24</v>
      </c>
      <c r="I633" t="s">
        <v>17</v>
      </c>
      <c r="J633">
        <v>3</v>
      </c>
      <c r="K633" t="s">
        <v>44</v>
      </c>
      <c r="L633" t="s">
        <v>25</v>
      </c>
      <c r="M633" t="s">
        <v>36</v>
      </c>
      <c r="N633">
        <v>44</v>
      </c>
      <c r="O633" t="s">
        <v>20</v>
      </c>
    </row>
    <row r="634" spans="1:15" x14ac:dyDescent="0.25">
      <c r="A634">
        <v>633</v>
      </c>
      <c r="B634" t="s">
        <v>26</v>
      </c>
      <c r="C634" t="s">
        <v>14</v>
      </c>
      <c r="D634">
        <v>80000</v>
      </c>
      <c r="E634">
        <v>4</v>
      </c>
      <c r="F634" s="2" t="s">
        <v>45</v>
      </c>
      <c r="G634" t="s">
        <v>35</v>
      </c>
      <c r="H634" t="s">
        <v>16</v>
      </c>
      <c r="I634" t="s">
        <v>17</v>
      </c>
      <c r="J634">
        <v>0</v>
      </c>
      <c r="K634" t="s">
        <v>43</v>
      </c>
      <c r="L634" t="s">
        <v>30</v>
      </c>
      <c r="M634" t="s">
        <v>36</v>
      </c>
      <c r="N634">
        <v>48</v>
      </c>
      <c r="O634" t="s">
        <v>20</v>
      </c>
    </row>
    <row r="635" spans="1:15" x14ac:dyDescent="0.25">
      <c r="A635">
        <v>634</v>
      </c>
      <c r="B635" t="s">
        <v>13</v>
      </c>
      <c r="C635" t="s">
        <v>14</v>
      </c>
      <c r="D635">
        <v>130000</v>
      </c>
      <c r="E635">
        <v>1</v>
      </c>
      <c r="F635" s="2" t="s">
        <v>45</v>
      </c>
      <c r="G635" t="s">
        <v>15</v>
      </c>
      <c r="H635" t="s">
        <v>32</v>
      </c>
      <c r="I635" t="s">
        <v>17</v>
      </c>
      <c r="J635">
        <v>2</v>
      </c>
      <c r="K635" t="s">
        <v>44</v>
      </c>
      <c r="L635" t="s">
        <v>18</v>
      </c>
      <c r="M635" t="s">
        <v>36</v>
      </c>
      <c r="N635">
        <v>45</v>
      </c>
      <c r="O635" t="s">
        <v>17</v>
      </c>
    </row>
    <row r="636" spans="1:15" x14ac:dyDescent="0.25">
      <c r="A636">
        <v>635</v>
      </c>
      <c r="B636" t="s">
        <v>13</v>
      </c>
      <c r="C636" t="s">
        <v>21</v>
      </c>
      <c r="D636">
        <v>60000</v>
      </c>
      <c r="E636">
        <v>3</v>
      </c>
      <c r="F636" s="2" t="s">
        <v>45</v>
      </c>
      <c r="G636" t="s">
        <v>15</v>
      </c>
      <c r="H636" t="s">
        <v>32</v>
      </c>
      <c r="I636" t="s">
        <v>20</v>
      </c>
      <c r="J636">
        <v>2</v>
      </c>
      <c r="K636" t="s">
        <v>44</v>
      </c>
      <c r="L636" t="s">
        <v>30</v>
      </c>
      <c r="M636" t="s">
        <v>36</v>
      </c>
      <c r="N636">
        <v>66</v>
      </c>
      <c r="O636" t="s">
        <v>20</v>
      </c>
    </row>
    <row r="637" spans="1:15" x14ac:dyDescent="0.25">
      <c r="A637">
        <v>636</v>
      </c>
      <c r="B637" t="s">
        <v>26</v>
      </c>
      <c r="C637" t="s">
        <v>14</v>
      </c>
      <c r="D637">
        <v>30000</v>
      </c>
      <c r="E637">
        <v>2</v>
      </c>
      <c r="F637" s="2" t="s">
        <v>45</v>
      </c>
      <c r="G637" t="s">
        <v>31</v>
      </c>
      <c r="H637" t="s">
        <v>16</v>
      </c>
      <c r="I637" t="s">
        <v>20</v>
      </c>
      <c r="J637">
        <v>2</v>
      </c>
      <c r="K637" t="s">
        <v>44</v>
      </c>
      <c r="L637" t="s">
        <v>18</v>
      </c>
      <c r="M637" t="s">
        <v>36</v>
      </c>
      <c r="N637">
        <v>49</v>
      </c>
      <c r="O637" t="s">
        <v>20</v>
      </c>
    </row>
    <row r="638" spans="1:15" x14ac:dyDescent="0.25">
      <c r="A638">
        <v>637</v>
      </c>
      <c r="B638" t="s">
        <v>26</v>
      </c>
      <c r="C638" t="s">
        <v>14</v>
      </c>
      <c r="D638">
        <v>120000</v>
      </c>
      <c r="E638">
        <v>4</v>
      </c>
      <c r="F638" s="2" t="s">
        <v>45</v>
      </c>
      <c r="G638" t="s">
        <v>22</v>
      </c>
      <c r="H638" t="s">
        <v>24</v>
      </c>
      <c r="I638" t="s">
        <v>17</v>
      </c>
      <c r="J638">
        <v>3</v>
      </c>
      <c r="K638" t="s">
        <v>44</v>
      </c>
      <c r="L638" t="s">
        <v>27</v>
      </c>
      <c r="M638" t="s">
        <v>36</v>
      </c>
      <c r="N638">
        <v>43</v>
      </c>
      <c r="O638" t="s">
        <v>17</v>
      </c>
    </row>
    <row r="639" spans="1:15" x14ac:dyDescent="0.25">
      <c r="A639">
        <v>638</v>
      </c>
      <c r="B639" t="s">
        <v>26</v>
      </c>
      <c r="C639" t="s">
        <v>21</v>
      </c>
      <c r="D639">
        <v>40000</v>
      </c>
      <c r="E639">
        <v>0</v>
      </c>
      <c r="F639" s="2" t="s">
        <v>46</v>
      </c>
      <c r="G639" t="s">
        <v>31</v>
      </c>
      <c r="H639" t="s">
        <v>16</v>
      </c>
      <c r="I639" t="s">
        <v>20</v>
      </c>
      <c r="J639">
        <v>2</v>
      </c>
      <c r="K639" t="s">
        <v>44</v>
      </c>
      <c r="L639" t="s">
        <v>30</v>
      </c>
      <c r="M639" t="s">
        <v>36</v>
      </c>
      <c r="N639">
        <v>30</v>
      </c>
      <c r="O639" t="s">
        <v>20</v>
      </c>
    </row>
    <row r="640" spans="1:15" x14ac:dyDescent="0.25">
      <c r="A640">
        <v>639</v>
      </c>
      <c r="B640" t="s">
        <v>26</v>
      </c>
      <c r="C640" t="s">
        <v>21</v>
      </c>
      <c r="D640">
        <v>70000</v>
      </c>
      <c r="E640">
        <v>0</v>
      </c>
      <c r="F640" s="2" t="s">
        <v>46</v>
      </c>
      <c r="G640" t="s">
        <v>35</v>
      </c>
      <c r="H640" t="s">
        <v>32</v>
      </c>
      <c r="I640" t="s">
        <v>17</v>
      </c>
      <c r="J640">
        <v>2</v>
      </c>
      <c r="K640" t="s">
        <v>44</v>
      </c>
      <c r="L640" t="s">
        <v>27</v>
      </c>
      <c r="M640" t="s">
        <v>36</v>
      </c>
      <c r="N640">
        <v>74</v>
      </c>
      <c r="O640" t="s">
        <v>17</v>
      </c>
    </row>
    <row r="641" spans="1:15" x14ac:dyDescent="0.25">
      <c r="A641">
        <v>640</v>
      </c>
      <c r="B641" t="s">
        <v>13</v>
      </c>
      <c r="C641" t="s">
        <v>21</v>
      </c>
      <c r="D641">
        <v>100000</v>
      </c>
      <c r="E641">
        <v>2</v>
      </c>
      <c r="F641" s="2" t="s">
        <v>45</v>
      </c>
      <c r="G641" t="s">
        <v>35</v>
      </c>
      <c r="H641" t="s">
        <v>32</v>
      </c>
      <c r="I641" t="s">
        <v>17</v>
      </c>
      <c r="J641">
        <v>3</v>
      </c>
      <c r="K641" t="s">
        <v>44</v>
      </c>
      <c r="L641" t="s">
        <v>30</v>
      </c>
      <c r="M641" t="s">
        <v>36</v>
      </c>
      <c r="N641">
        <v>65</v>
      </c>
      <c r="O641" t="s">
        <v>20</v>
      </c>
    </row>
    <row r="642" spans="1:15" x14ac:dyDescent="0.25">
      <c r="A642">
        <v>641</v>
      </c>
      <c r="B642" t="s">
        <v>13</v>
      </c>
      <c r="C642" t="s">
        <v>14</v>
      </c>
      <c r="D642">
        <v>60000</v>
      </c>
      <c r="E642">
        <v>2</v>
      </c>
      <c r="F642" s="2" t="s">
        <v>45</v>
      </c>
      <c r="G642" t="s">
        <v>22</v>
      </c>
      <c r="H642" t="s">
        <v>24</v>
      </c>
      <c r="I642" t="s">
        <v>17</v>
      </c>
      <c r="J642">
        <v>2</v>
      </c>
      <c r="K642" t="s">
        <v>44</v>
      </c>
      <c r="L642" t="s">
        <v>25</v>
      </c>
      <c r="M642" t="s">
        <v>36</v>
      </c>
      <c r="N642">
        <v>56</v>
      </c>
      <c r="O642" t="s">
        <v>17</v>
      </c>
    </row>
    <row r="643" spans="1:15" x14ac:dyDescent="0.25">
      <c r="A643">
        <v>642</v>
      </c>
      <c r="B643" t="s">
        <v>13</v>
      </c>
      <c r="C643" t="s">
        <v>21</v>
      </c>
      <c r="D643">
        <v>50000</v>
      </c>
      <c r="E643">
        <v>4</v>
      </c>
      <c r="F643" s="2" t="s">
        <v>45</v>
      </c>
      <c r="G643" t="s">
        <v>15</v>
      </c>
      <c r="H643" t="s">
        <v>32</v>
      </c>
      <c r="I643" t="s">
        <v>17</v>
      </c>
      <c r="J643">
        <v>2</v>
      </c>
      <c r="K643" t="s">
        <v>44</v>
      </c>
      <c r="L643" t="s">
        <v>34</v>
      </c>
      <c r="M643" t="s">
        <v>36</v>
      </c>
      <c r="N643">
        <v>64</v>
      </c>
      <c r="O643" t="s">
        <v>20</v>
      </c>
    </row>
    <row r="644" spans="1:15" x14ac:dyDescent="0.25">
      <c r="A644">
        <v>643</v>
      </c>
      <c r="B644" t="s">
        <v>13</v>
      </c>
      <c r="C644" t="s">
        <v>14</v>
      </c>
      <c r="D644">
        <v>70000</v>
      </c>
      <c r="E644">
        <v>3</v>
      </c>
      <c r="F644" s="2" t="s">
        <v>45</v>
      </c>
      <c r="G644" t="s">
        <v>22</v>
      </c>
      <c r="H644" t="s">
        <v>24</v>
      </c>
      <c r="I644" t="s">
        <v>17</v>
      </c>
      <c r="J644">
        <v>2</v>
      </c>
      <c r="K644" t="s">
        <v>44</v>
      </c>
      <c r="L644" t="s">
        <v>27</v>
      </c>
      <c r="M644" t="s">
        <v>36</v>
      </c>
      <c r="N644">
        <v>50</v>
      </c>
      <c r="O644" t="s">
        <v>17</v>
      </c>
    </row>
    <row r="645" spans="1:15" x14ac:dyDescent="0.25">
      <c r="A645">
        <v>644</v>
      </c>
      <c r="B645" t="s">
        <v>13</v>
      </c>
      <c r="C645" t="s">
        <v>14</v>
      </c>
      <c r="D645">
        <v>70000</v>
      </c>
      <c r="E645">
        <v>3</v>
      </c>
      <c r="F645" s="2" t="s">
        <v>45</v>
      </c>
      <c r="G645" t="s">
        <v>35</v>
      </c>
      <c r="H645" t="s">
        <v>24</v>
      </c>
      <c r="I645" t="s">
        <v>17</v>
      </c>
      <c r="J645">
        <v>0</v>
      </c>
      <c r="K645" t="s">
        <v>43</v>
      </c>
      <c r="L645" t="s">
        <v>25</v>
      </c>
      <c r="M645" t="s">
        <v>36</v>
      </c>
      <c r="N645">
        <v>35</v>
      </c>
      <c r="O645" t="s">
        <v>17</v>
      </c>
    </row>
    <row r="646" spans="1:15" x14ac:dyDescent="0.25">
      <c r="A646">
        <v>645</v>
      </c>
      <c r="B646" t="s">
        <v>13</v>
      </c>
      <c r="C646" t="s">
        <v>14</v>
      </c>
      <c r="D646">
        <v>60000</v>
      </c>
      <c r="E646">
        <v>5</v>
      </c>
      <c r="F646" s="2" t="s">
        <v>45</v>
      </c>
      <c r="G646" t="s">
        <v>15</v>
      </c>
      <c r="H646" t="s">
        <v>16</v>
      </c>
      <c r="I646" t="s">
        <v>17</v>
      </c>
      <c r="J646">
        <v>3</v>
      </c>
      <c r="K646" t="s">
        <v>44</v>
      </c>
      <c r="L646" t="s">
        <v>34</v>
      </c>
      <c r="M646" t="s">
        <v>36</v>
      </c>
      <c r="N646">
        <v>41</v>
      </c>
      <c r="O646" t="s">
        <v>20</v>
      </c>
    </row>
    <row r="647" spans="1:15" x14ac:dyDescent="0.25">
      <c r="A647">
        <v>646</v>
      </c>
      <c r="B647" t="s">
        <v>26</v>
      </c>
      <c r="C647" t="s">
        <v>14</v>
      </c>
      <c r="D647">
        <v>60000</v>
      </c>
      <c r="E647">
        <v>0</v>
      </c>
      <c r="F647" s="2" t="s">
        <v>46</v>
      </c>
      <c r="G647" t="s">
        <v>35</v>
      </c>
      <c r="H647" t="s">
        <v>16</v>
      </c>
      <c r="I647" t="s">
        <v>17</v>
      </c>
      <c r="J647">
        <v>0</v>
      </c>
      <c r="K647" t="s">
        <v>43</v>
      </c>
      <c r="L647" t="s">
        <v>18</v>
      </c>
      <c r="M647" t="s">
        <v>36</v>
      </c>
      <c r="N647">
        <v>39</v>
      </c>
      <c r="O647" t="s">
        <v>20</v>
      </c>
    </row>
    <row r="648" spans="1:15" x14ac:dyDescent="0.25">
      <c r="A648">
        <v>647</v>
      </c>
      <c r="B648" t="s">
        <v>26</v>
      </c>
      <c r="C648" t="s">
        <v>14</v>
      </c>
      <c r="D648">
        <v>60000</v>
      </c>
      <c r="E648">
        <v>4</v>
      </c>
      <c r="F648" s="2" t="s">
        <v>45</v>
      </c>
      <c r="G648" t="s">
        <v>35</v>
      </c>
      <c r="H648" t="s">
        <v>16</v>
      </c>
      <c r="I648" t="s">
        <v>20</v>
      </c>
      <c r="J648">
        <v>0</v>
      </c>
      <c r="K648" t="s">
        <v>43</v>
      </c>
      <c r="L648" t="s">
        <v>30</v>
      </c>
      <c r="M648" t="s">
        <v>36</v>
      </c>
      <c r="N648">
        <v>47</v>
      </c>
      <c r="O648" t="s">
        <v>20</v>
      </c>
    </row>
    <row r="649" spans="1:15" x14ac:dyDescent="0.25">
      <c r="A649">
        <v>648</v>
      </c>
      <c r="B649" t="s">
        <v>26</v>
      </c>
      <c r="C649" t="s">
        <v>21</v>
      </c>
      <c r="D649">
        <v>40000</v>
      </c>
      <c r="E649">
        <v>0</v>
      </c>
      <c r="F649" s="2" t="s">
        <v>46</v>
      </c>
      <c r="G649" t="s">
        <v>31</v>
      </c>
      <c r="H649" t="s">
        <v>16</v>
      </c>
      <c r="I649" t="s">
        <v>17</v>
      </c>
      <c r="J649">
        <v>2</v>
      </c>
      <c r="K649" t="s">
        <v>44</v>
      </c>
      <c r="L649" t="s">
        <v>27</v>
      </c>
      <c r="M649" t="s">
        <v>36</v>
      </c>
      <c r="N649">
        <v>31</v>
      </c>
      <c r="O649" t="s">
        <v>20</v>
      </c>
    </row>
    <row r="650" spans="1:15" x14ac:dyDescent="0.25">
      <c r="A650">
        <v>649</v>
      </c>
      <c r="B650" t="s">
        <v>26</v>
      </c>
      <c r="C650" t="s">
        <v>14</v>
      </c>
      <c r="D650">
        <v>70000</v>
      </c>
      <c r="E650">
        <v>2</v>
      </c>
      <c r="F650" s="2" t="s">
        <v>45</v>
      </c>
      <c r="G650" t="s">
        <v>15</v>
      </c>
      <c r="H650" t="s">
        <v>32</v>
      </c>
      <c r="I650" t="s">
        <v>20</v>
      </c>
      <c r="J650">
        <v>1</v>
      </c>
      <c r="K650" t="s">
        <v>44</v>
      </c>
      <c r="L650" t="s">
        <v>25</v>
      </c>
      <c r="M650" t="s">
        <v>36</v>
      </c>
      <c r="N650">
        <v>58</v>
      </c>
      <c r="O650" t="s">
        <v>17</v>
      </c>
    </row>
    <row r="651" spans="1:15" x14ac:dyDescent="0.25">
      <c r="A651">
        <v>650</v>
      </c>
      <c r="B651" t="s">
        <v>26</v>
      </c>
      <c r="C651" t="s">
        <v>14</v>
      </c>
      <c r="D651">
        <v>70000</v>
      </c>
      <c r="E651">
        <v>0</v>
      </c>
      <c r="F651" s="2" t="s">
        <v>46</v>
      </c>
      <c r="G651" t="s">
        <v>15</v>
      </c>
      <c r="H651" t="s">
        <v>24</v>
      </c>
      <c r="I651" t="s">
        <v>20</v>
      </c>
      <c r="J651">
        <v>1</v>
      </c>
      <c r="K651" t="s">
        <v>44</v>
      </c>
      <c r="L651" t="s">
        <v>25</v>
      </c>
      <c r="M651" t="s">
        <v>36</v>
      </c>
      <c r="N651">
        <v>38</v>
      </c>
      <c r="O651" t="s">
        <v>17</v>
      </c>
    </row>
    <row r="652" spans="1:15" x14ac:dyDescent="0.25">
      <c r="A652">
        <v>651</v>
      </c>
      <c r="B652" t="s">
        <v>26</v>
      </c>
      <c r="C652" t="s">
        <v>14</v>
      </c>
      <c r="D652">
        <v>70000</v>
      </c>
      <c r="E652">
        <v>5</v>
      </c>
      <c r="F652" s="2" t="s">
        <v>45</v>
      </c>
      <c r="G652" t="s">
        <v>35</v>
      </c>
      <c r="H652" t="s">
        <v>32</v>
      </c>
      <c r="I652" t="s">
        <v>17</v>
      </c>
      <c r="J652">
        <v>2</v>
      </c>
      <c r="K652" t="s">
        <v>44</v>
      </c>
      <c r="L652" t="s">
        <v>34</v>
      </c>
      <c r="M652" t="s">
        <v>36</v>
      </c>
      <c r="N652">
        <v>67</v>
      </c>
      <c r="O652" t="s">
        <v>17</v>
      </c>
    </row>
    <row r="653" spans="1:15" x14ac:dyDescent="0.25">
      <c r="A653">
        <v>652</v>
      </c>
      <c r="B653" t="s">
        <v>26</v>
      </c>
      <c r="C653" t="s">
        <v>21</v>
      </c>
      <c r="D653">
        <v>60000</v>
      </c>
      <c r="E653">
        <v>0</v>
      </c>
      <c r="F653" s="2" t="s">
        <v>46</v>
      </c>
      <c r="G653" t="s">
        <v>22</v>
      </c>
      <c r="H653" t="s">
        <v>24</v>
      </c>
      <c r="I653" t="s">
        <v>20</v>
      </c>
      <c r="J653">
        <v>2</v>
      </c>
      <c r="K653" t="s">
        <v>44</v>
      </c>
      <c r="L653" t="s">
        <v>30</v>
      </c>
      <c r="M653" t="s">
        <v>36</v>
      </c>
      <c r="N653">
        <v>32</v>
      </c>
      <c r="O653" t="s">
        <v>17</v>
      </c>
    </row>
    <row r="654" spans="1:15" x14ac:dyDescent="0.25">
      <c r="A654">
        <v>653</v>
      </c>
      <c r="B654" t="s">
        <v>13</v>
      </c>
      <c r="C654" t="s">
        <v>21</v>
      </c>
      <c r="D654">
        <v>70000</v>
      </c>
      <c r="E654">
        <v>5</v>
      </c>
      <c r="F654" s="2" t="s">
        <v>45</v>
      </c>
      <c r="G654" t="s">
        <v>22</v>
      </c>
      <c r="H654" t="s">
        <v>24</v>
      </c>
      <c r="I654" t="s">
        <v>20</v>
      </c>
      <c r="J654">
        <v>3</v>
      </c>
      <c r="K654" t="s">
        <v>44</v>
      </c>
      <c r="L654" t="s">
        <v>27</v>
      </c>
      <c r="M654" t="s">
        <v>36</v>
      </c>
      <c r="N654">
        <v>45</v>
      </c>
      <c r="O654" t="s">
        <v>20</v>
      </c>
    </row>
    <row r="655" spans="1:15" x14ac:dyDescent="0.25">
      <c r="A655">
        <v>654</v>
      </c>
      <c r="B655" t="s">
        <v>26</v>
      </c>
      <c r="C655" t="s">
        <v>21</v>
      </c>
      <c r="D655">
        <v>30000</v>
      </c>
      <c r="E655">
        <v>0</v>
      </c>
      <c r="F655" s="2" t="s">
        <v>46</v>
      </c>
      <c r="G655" t="s">
        <v>31</v>
      </c>
      <c r="H655" t="s">
        <v>16</v>
      </c>
      <c r="I655" t="s">
        <v>20</v>
      </c>
      <c r="J655">
        <v>2</v>
      </c>
      <c r="K655" t="s">
        <v>44</v>
      </c>
      <c r="L655" t="s">
        <v>30</v>
      </c>
      <c r="M655" t="s">
        <v>36</v>
      </c>
      <c r="N655">
        <v>31</v>
      </c>
      <c r="O655" t="s">
        <v>17</v>
      </c>
    </row>
    <row r="656" spans="1:15" x14ac:dyDescent="0.25">
      <c r="A656">
        <v>655</v>
      </c>
      <c r="B656" t="s">
        <v>26</v>
      </c>
      <c r="C656" t="s">
        <v>21</v>
      </c>
      <c r="D656">
        <v>40000</v>
      </c>
      <c r="E656">
        <v>0</v>
      </c>
      <c r="F656" s="2" t="s">
        <v>46</v>
      </c>
      <c r="G656" t="s">
        <v>31</v>
      </c>
      <c r="H656" t="s">
        <v>16</v>
      </c>
      <c r="I656" t="s">
        <v>20</v>
      </c>
      <c r="J656">
        <v>2</v>
      </c>
      <c r="K656" t="s">
        <v>44</v>
      </c>
      <c r="L656" t="s">
        <v>30</v>
      </c>
      <c r="M656" t="s">
        <v>36</v>
      </c>
      <c r="N656">
        <v>31</v>
      </c>
      <c r="O656" t="s">
        <v>17</v>
      </c>
    </row>
    <row r="657" spans="1:15" x14ac:dyDescent="0.25">
      <c r="A657">
        <v>656</v>
      </c>
      <c r="B657" t="s">
        <v>13</v>
      </c>
      <c r="C657" t="s">
        <v>14</v>
      </c>
      <c r="D657">
        <v>40000</v>
      </c>
      <c r="E657">
        <v>3</v>
      </c>
      <c r="F657" s="2" t="s">
        <v>45</v>
      </c>
      <c r="G657" t="s">
        <v>22</v>
      </c>
      <c r="H657" t="s">
        <v>23</v>
      </c>
      <c r="I657" t="s">
        <v>17</v>
      </c>
      <c r="J657">
        <v>1</v>
      </c>
      <c r="K657" t="s">
        <v>44</v>
      </c>
      <c r="L657" t="s">
        <v>18</v>
      </c>
      <c r="M657" t="s">
        <v>36</v>
      </c>
      <c r="N657">
        <v>31</v>
      </c>
      <c r="O657" t="s">
        <v>20</v>
      </c>
    </row>
    <row r="658" spans="1:15" x14ac:dyDescent="0.25">
      <c r="A658">
        <v>657</v>
      </c>
      <c r="B658" t="s">
        <v>13</v>
      </c>
      <c r="C658" t="s">
        <v>21</v>
      </c>
      <c r="D658">
        <v>60000</v>
      </c>
      <c r="E658">
        <v>2</v>
      </c>
      <c r="F658" s="2" t="s">
        <v>45</v>
      </c>
      <c r="G658" t="s">
        <v>31</v>
      </c>
      <c r="H658" t="s">
        <v>24</v>
      </c>
      <c r="I658" t="s">
        <v>20</v>
      </c>
      <c r="J658">
        <v>2</v>
      </c>
      <c r="K658" t="s">
        <v>44</v>
      </c>
      <c r="L658" t="s">
        <v>27</v>
      </c>
      <c r="M658" t="s">
        <v>36</v>
      </c>
      <c r="N658">
        <v>50</v>
      </c>
      <c r="O658" t="s">
        <v>20</v>
      </c>
    </row>
    <row r="659" spans="1:15" x14ac:dyDescent="0.25">
      <c r="A659">
        <v>658</v>
      </c>
      <c r="B659" t="s">
        <v>13</v>
      </c>
      <c r="C659" t="s">
        <v>21</v>
      </c>
      <c r="D659">
        <v>70000</v>
      </c>
      <c r="E659">
        <v>1</v>
      </c>
      <c r="F659" s="2" t="s">
        <v>45</v>
      </c>
      <c r="G659" t="s">
        <v>22</v>
      </c>
      <c r="H659" t="s">
        <v>16</v>
      </c>
      <c r="I659" t="s">
        <v>17</v>
      </c>
      <c r="J659">
        <v>1</v>
      </c>
      <c r="K659" t="s">
        <v>44</v>
      </c>
      <c r="L659" t="s">
        <v>18</v>
      </c>
      <c r="M659" t="s">
        <v>36</v>
      </c>
      <c r="N659">
        <v>44</v>
      </c>
      <c r="O659" t="s">
        <v>20</v>
      </c>
    </row>
    <row r="660" spans="1:15" x14ac:dyDescent="0.25">
      <c r="A660">
        <v>659</v>
      </c>
      <c r="B660" t="s">
        <v>26</v>
      </c>
      <c r="C660" t="s">
        <v>21</v>
      </c>
      <c r="D660">
        <v>50000</v>
      </c>
      <c r="E660">
        <v>2</v>
      </c>
      <c r="F660" s="2" t="s">
        <v>45</v>
      </c>
      <c r="G660" t="s">
        <v>15</v>
      </c>
      <c r="H660" t="s">
        <v>16</v>
      </c>
      <c r="I660" t="s">
        <v>17</v>
      </c>
      <c r="J660">
        <v>1</v>
      </c>
      <c r="K660" t="s">
        <v>44</v>
      </c>
      <c r="L660" t="s">
        <v>25</v>
      </c>
      <c r="M660" t="s">
        <v>36</v>
      </c>
      <c r="N660">
        <v>38</v>
      </c>
      <c r="O660" t="s">
        <v>17</v>
      </c>
    </row>
    <row r="661" spans="1:15" x14ac:dyDescent="0.25">
      <c r="A661">
        <v>660</v>
      </c>
      <c r="B661" t="s">
        <v>26</v>
      </c>
      <c r="C661" t="s">
        <v>14</v>
      </c>
      <c r="D661">
        <v>60000</v>
      </c>
      <c r="E661">
        <v>4</v>
      </c>
      <c r="F661" s="2" t="s">
        <v>45</v>
      </c>
      <c r="G661" t="s">
        <v>15</v>
      </c>
      <c r="H661" t="s">
        <v>32</v>
      </c>
      <c r="I661" t="s">
        <v>17</v>
      </c>
      <c r="J661">
        <v>2</v>
      </c>
      <c r="K661" t="s">
        <v>44</v>
      </c>
      <c r="L661" t="s">
        <v>34</v>
      </c>
      <c r="M661" t="s">
        <v>36</v>
      </c>
      <c r="N661">
        <v>63</v>
      </c>
      <c r="O661" t="s">
        <v>20</v>
      </c>
    </row>
    <row r="662" spans="1:15" x14ac:dyDescent="0.25">
      <c r="A662">
        <v>661</v>
      </c>
      <c r="B662" t="s">
        <v>13</v>
      </c>
      <c r="C662" t="s">
        <v>14</v>
      </c>
      <c r="D662">
        <v>60000</v>
      </c>
      <c r="E662">
        <v>1</v>
      </c>
      <c r="F662" s="2" t="s">
        <v>45</v>
      </c>
      <c r="G662" t="s">
        <v>35</v>
      </c>
      <c r="H662" t="s">
        <v>24</v>
      </c>
      <c r="I662" t="s">
        <v>17</v>
      </c>
      <c r="J662">
        <v>0</v>
      </c>
      <c r="K662" t="s">
        <v>43</v>
      </c>
      <c r="L662" t="s">
        <v>25</v>
      </c>
      <c r="M662" t="s">
        <v>36</v>
      </c>
      <c r="N662">
        <v>36</v>
      </c>
      <c r="O662" t="s">
        <v>17</v>
      </c>
    </row>
    <row r="663" spans="1:15" x14ac:dyDescent="0.25">
      <c r="A663">
        <v>662</v>
      </c>
      <c r="B663" t="s">
        <v>26</v>
      </c>
      <c r="C663" t="s">
        <v>21</v>
      </c>
      <c r="D663">
        <v>40000</v>
      </c>
      <c r="E663">
        <v>0</v>
      </c>
      <c r="F663" s="2" t="s">
        <v>46</v>
      </c>
      <c r="G663" t="s">
        <v>31</v>
      </c>
      <c r="H663" t="s">
        <v>16</v>
      </c>
      <c r="I663" t="s">
        <v>20</v>
      </c>
      <c r="J663">
        <v>2</v>
      </c>
      <c r="K663" t="s">
        <v>44</v>
      </c>
      <c r="L663" t="s">
        <v>18</v>
      </c>
      <c r="M663" t="s">
        <v>36</v>
      </c>
      <c r="N663">
        <v>28</v>
      </c>
      <c r="O663" t="s">
        <v>17</v>
      </c>
    </row>
    <row r="664" spans="1:15" x14ac:dyDescent="0.25">
      <c r="A664">
        <v>663</v>
      </c>
      <c r="B664" t="s">
        <v>26</v>
      </c>
      <c r="C664" t="s">
        <v>14</v>
      </c>
      <c r="D664">
        <v>100000</v>
      </c>
      <c r="E664">
        <v>1</v>
      </c>
      <c r="F664" s="2" t="s">
        <v>45</v>
      </c>
      <c r="G664" t="s">
        <v>22</v>
      </c>
      <c r="H664" t="s">
        <v>24</v>
      </c>
      <c r="I664" t="s">
        <v>20</v>
      </c>
      <c r="J664">
        <v>3</v>
      </c>
      <c r="K664" t="s">
        <v>44</v>
      </c>
      <c r="L664" t="s">
        <v>30</v>
      </c>
      <c r="M664" t="s">
        <v>36</v>
      </c>
      <c r="N664">
        <v>44</v>
      </c>
      <c r="O664" t="s">
        <v>20</v>
      </c>
    </row>
    <row r="665" spans="1:15" x14ac:dyDescent="0.25">
      <c r="A665">
        <v>664</v>
      </c>
      <c r="B665" t="s">
        <v>13</v>
      </c>
      <c r="C665" t="s">
        <v>14</v>
      </c>
      <c r="D665">
        <v>70000</v>
      </c>
      <c r="E665">
        <v>5</v>
      </c>
      <c r="F665" s="2" t="s">
        <v>45</v>
      </c>
      <c r="G665" t="s">
        <v>35</v>
      </c>
      <c r="H665" t="s">
        <v>24</v>
      </c>
      <c r="I665" t="s">
        <v>17</v>
      </c>
      <c r="J665">
        <v>1</v>
      </c>
      <c r="K665" t="s">
        <v>44</v>
      </c>
      <c r="L665" t="s">
        <v>18</v>
      </c>
      <c r="M665" t="s">
        <v>36</v>
      </c>
      <c r="N665">
        <v>47</v>
      </c>
      <c r="O665" t="s">
        <v>20</v>
      </c>
    </row>
    <row r="666" spans="1:15" x14ac:dyDescent="0.25">
      <c r="A666">
        <v>665</v>
      </c>
      <c r="B666" t="s">
        <v>13</v>
      </c>
      <c r="C666" t="s">
        <v>14</v>
      </c>
      <c r="D666">
        <v>80000</v>
      </c>
      <c r="E666">
        <v>0</v>
      </c>
      <c r="F666" s="2" t="s">
        <v>46</v>
      </c>
      <c r="G666" t="s">
        <v>35</v>
      </c>
      <c r="H666" t="s">
        <v>16</v>
      </c>
      <c r="I666" t="s">
        <v>17</v>
      </c>
      <c r="J666">
        <v>0</v>
      </c>
      <c r="K666" t="s">
        <v>43</v>
      </c>
      <c r="L666" t="s">
        <v>30</v>
      </c>
      <c r="M666" t="s">
        <v>36</v>
      </c>
      <c r="N666">
        <v>40</v>
      </c>
      <c r="O666" t="s">
        <v>17</v>
      </c>
    </row>
    <row r="667" spans="1:15" x14ac:dyDescent="0.25">
      <c r="A667">
        <v>666</v>
      </c>
      <c r="B667" t="s">
        <v>13</v>
      </c>
      <c r="C667" t="s">
        <v>21</v>
      </c>
      <c r="D667">
        <v>130000</v>
      </c>
      <c r="E667">
        <v>1</v>
      </c>
      <c r="F667" s="2" t="s">
        <v>45</v>
      </c>
      <c r="G667" t="s">
        <v>35</v>
      </c>
      <c r="H667" t="s">
        <v>32</v>
      </c>
      <c r="I667" t="s">
        <v>17</v>
      </c>
      <c r="J667">
        <v>4</v>
      </c>
      <c r="K667" t="s">
        <v>44</v>
      </c>
      <c r="L667" t="s">
        <v>18</v>
      </c>
      <c r="M667" t="s">
        <v>36</v>
      </c>
      <c r="N667">
        <v>40</v>
      </c>
      <c r="O667" t="s">
        <v>20</v>
      </c>
    </row>
    <row r="668" spans="1:15" x14ac:dyDescent="0.25">
      <c r="A668">
        <v>667</v>
      </c>
      <c r="B668" t="s">
        <v>13</v>
      </c>
      <c r="C668" t="s">
        <v>14</v>
      </c>
      <c r="D668">
        <v>60000</v>
      </c>
      <c r="E668">
        <v>1</v>
      </c>
      <c r="F668" s="2" t="s">
        <v>45</v>
      </c>
      <c r="G668" t="s">
        <v>22</v>
      </c>
      <c r="H668" t="s">
        <v>16</v>
      </c>
      <c r="I668" t="s">
        <v>17</v>
      </c>
      <c r="J668">
        <v>1</v>
      </c>
      <c r="K668" t="s">
        <v>44</v>
      </c>
      <c r="L668" t="s">
        <v>25</v>
      </c>
      <c r="M668" t="s">
        <v>36</v>
      </c>
      <c r="N668">
        <v>46</v>
      </c>
      <c r="O668" t="s">
        <v>17</v>
      </c>
    </row>
    <row r="669" spans="1:15" x14ac:dyDescent="0.25">
      <c r="A669">
        <v>668</v>
      </c>
      <c r="B669" t="s">
        <v>13</v>
      </c>
      <c r="C669" t="s">
        <v>14</v>
      </c>
      <c r="D669">
        <v>40000</v>
      </c>
      <c r="E669">
        <v>5</v>
      </c>
      <c r="F669" s="2" t="s">
        <v>45</v>
      </c>
      <c r="G669" t="s">
        <v>31</v>
      </c>
      <c r="H669" t="s">
        <v>24</v>
      </c>
      <c r="I669" t="s">
        <v>20</v>
      </c>
      <c r="J669">
        <v>2</v>
      </c>
      <c r="K669" t="s">
        <v>44</v>
      </c>
      <c r="L669" t="s">
        <v>34</v>
      </c>
      <c r="M669" t="s">
        <v>36</v>
      </c>
      <c r="N669">
        <v>61</v>
      </c>
      <c r="O669" t="s">
        <v>20</v>
      </c>
    </row>
    <row r="670" spans="1:15" x14ac:dyDescent="0.25">
      <c r="A670">
        <v>669</v>
      </c>
      <c r="B670" t="s">
        <v>13</v>
      </c>
      <c r="C670" t="s">
        <v>14</v>
      </c>
      <c r="D670">
        <v>60000</v>
      </c>
      <c r="E670">
        <v>0</v>
      </c>
      <c r="F670" s="2" t="s">
        <v>46</v>
      </c>
      <c r="G670" t="s">
        <v>35</v>
      </c>
      <c r="H670" t="s">
        <v>24</v>
      </c>
      <c r="I670" t="s">
        <v>17</v>
      </c>
      <c r="J670">
        <v>0</v>
      </c>
      <c r="K670" t="s">
        <v>43</v>
      </c>
      <c r="L670" t="s">
        <v>18</v>
      </c>
      <c r="M670" t="s">
        <v>36</v>
      </c>
      <c r="N670">
        <v>40</v>
      </c>
      <c r="O670" t="s">
        <v>20</v>
      </c>
    </row>
    <row r="671" spans="1:15" x14ac:dyDescent="0.25">
      <c r="A671">
        <v>670</v>
      </c>
      <c r="B671" t="s">
        <v>13</v>
      </c>
      <c r="C671" t="s">
        <v>14</v>
      </c>
      <c r="D671">
        <v>60000</v>
      </c>
      <c r="E671">
        <v>2</v>
      </c>
      <c r="F671" s="2" t="s">
        <v>45</v>
      </c>
      <c r="G671" t="s">
        <v>31</v>
      </c>
      <c r="H671" t="s">
        <v>24</v>
      </c>
      <c r="I671" t="s">
        <v>17</v>
      </c>
      <c r="J671">
        <v>2</v>
      </c>
      <c r="K671" t="s">
        <v>44</v>
      </c>
      <c r="L671" t="s">
        <v>27</v>
      </c>
      <c r="M671" t="s">
        <v>36</v>
      </c>
      <c r="N671">
        <v>50</v>
      </c>
      <c r="O671" t="s">
        <v>20</v>
      </c>
    </row>
    <row r="672" spans="1:15" x14ac:dyDescent="0.25">
      <c r="A672">
        <v>671</v>
      </c>
      <c r="B672" t="s">
        <v>13</v>
      </c>
      <c r="C672" t="s">
        <v>21</v>
      </c>
      <c r="D672">
        <v>70000</v>
      </c>
      <c r="E672">
        <v>2</v>
      </c>
      <c r="F672" s="2" t="s">
        <v>45</v>
      </c>
      <c r="G672" t="s">
        <v>22</v>
      </c>
      <c r="H672" t="s">
        <v>24</v>
      </c>
      <c r="I672" t="s">
        <v>17</v>
      </c>
      <c r="J672">
        <v>1</v>
      </c>
      <c r="K672" t="s">
        <v>44</v>
      </c>
      <c r="L672" t="s">
        <v>34</v>
      </c>
      <c r="M672" t="s">
        <v>36</v>
      </c>
      <c r="N672">
        <v>59</v>
      </c>
      <c r="O672" t="s">
        <v>20</v>
      </c>
    </row>
    <row r="673" spans="1:15" x14ac:dyDescent="0.25">
      <c r="A673">
        <v>672</v>
      </c>
      <c r="B673" t="s">
        <v>26</v>
      </c>
      <c r="C673" t="s">
        <v>14</v>
      </c>
      <c r="D673">
        <v>60000</v>
      </c>
      <c r="E673">
        <v>1</v>
      </c>
      <c r="F673" s="2" t="s">
        <v>45</v>
      </c>
      <c r="G673" t="s">
        <v>35</v>
      </c>
      <c r="H673" t="s">
        <v>24</v>
      </c>
      <c r="I673" t="s">
        <v>17</v>
      </c>
      <c r="J673">
        <v>0</v>
      </c>
      <c r="K673" t="s">
        <v>43</v>
      </c>
      <c r="L673" t="s">
        <v>25</v>
      </c>
      <c r="M673" t="s">
        <v>36</v>
      </c>
      <c r="N673">
        <v>36</v>
      </c>
      <c r="O673" t="s">
        <v>17</v>
      </c>
    </row>
    <row r="674" spans="1:15" x14ac:dyDescent="0.25">
      <c r="A674">
        <v>673</v>
      </c>
      <c r="B674" t="s">
        <v>26</v>
      </c>
      <c r="C674" t="s">
        <v>14</v>
      </c>
      <c r="D674">
        <v>40000</v>
      </c>
      <c r="E674">
        <v>0</v>
      </c>
      <c r="F674" s="2" t="s">
        <v>46</v>
      </c>
      <c r="G674" t="s">
        <v>31</v>
      </c>
      <c r="H674" t="s">
        <v>16</v>
      </c>
      <c r="I674" t="s">
        <v>17</v>
      </c>
      <c r="J674">
        <v>2</v>
      </c>
      <c r="K674" t="s">
        <v>44</v>
      </c>
      <c r="L674" t="s">
        <v>27</v>
      </c>
      <c r="M674" t="s">
        <v>36</v>
      </c>
      <c r="N674">
        <v>30</v>
      </c>
      <c r="O674" t="s">
        <v>20</v>
      </c>
    </row>
    <row r="675" spans="1:15" x14ac:dyDescent="0.25">
      <c r="A675">
        <v>674</v>
      </c>
      <c r="B675" t="s">
        <v>26</v>
      </c>
      <c r="C675" t="s">
        <v>14</v>
      </c>
      <c r="D675">
        <v>70000</v>
      </c>
      <c r="E675">
        <v>4</v>
      </c>
      <c r="F675" s="2" t="s">
        <v>45</v>
      </c>
      <c r="G675" t="s">
        <v>35</v>
      </c>
      <c r="H675" t="s">
        <v>24</v>
      </c>
      <c r="I675" t="s">
        <v>17</v>
      </c>
      <c r="J675">
        <v>0</v>
      </c>
      <c r="K675" t="s">
        <v>43</v>
      </c>
      <c r="L675" t="s">
        <v>25</v>
      </c>
      <c r="M675" t="s">
        <v>36</v>
      </c>
      <c r="N675">
        <v>35</v>
      </c>
      <c r="O675" t="s">
        <v>17</v>
      </c>
    </row>
    <row r="676" spans="1:15" x14ac:dyDescent="0.25">
      <c r="A676">
        <v>675</v>
      </c>
      <c r="B676" t="s">
        <v>13</v>
      </c>
      <c r="C676" t="s">
        <v>14</v>
      </c>
      <c r="D676">
        <v>30000</v>
      </c>
      <c r="E676">
        <v>2</v>
      </c>
      <c r="F676" s="2" t="s">
        <v>45</v>
      </c>
      <c r="G676" t="s">
        <v>31</v>
      </c>
      <c r="H676" t="s">
        <v>16</v>
      </c>
      <c r="I676" t="s">
        <v>17</v>
      </c>
      <c r="J676">
        <v>2</v>
      </c>
      <c r="K676" t="s">
        <v>44</v>
      </c>
      <c r="L676" t="s">
        <v>30</v>
      </c>
      <c r="M676" t="s">
        <v>36</v>
      </c>
      <c r="N676">
        <v>48</v>
      </c>
      <c r="O676" t="s">
        <v>20</v>
      </c>
    </row>
    <row r="677" spans="1:15" x14ac:dyDescent="0.25">
      <c r="A677">
        <v>676</v>
      </c>
      <c r="B677" t="s">
        <v>13</v>
      </c>
      <c r="C677" t="s">
        <v>21</v>
      </c>
      <c r="D677">
        <v>100000</v>
      </c>
      <c r="E677">
        <v>3</v>
      </c>
      <c r="F677" s="2" t="s">
        <v>45</v>
      </c>
      <c r="G677" t="s">
        <v>15</v>
      </c>
      <c r="H677" t="s">
        <v>32</v>
      </c>
      <c r="I677" t="s">
        <v>17</v>
      </c>
      <c r="J677">
        <v>4</v>
      </c>
      <c r="K677" t="s">
        <v>44</v>
      </c>
      <c r="L677" t="s">
        <v>18</v>
      </c>
      <c r="M677" t="s">
        <v>36</v>
      </c>
      <c r="N677">
        <v>41</v>
      </c>
      <c r="O677" t="s">
        <v>20</v>
      </c>
    </row>
    <row r="678" spans="1:15" x14ac:dyDescent="0.25">
      <c r="A678">
        <v>677</v>
      </c>
      <c r="B678" t="s">
        <v>13</v>
      </c>
      <c r="C678" t="s">
        <v>21</v>
      </c>
      <c r="D678">
        <v>40000</v>
      </c>
      <c r="E678">
        <v>2</v>
      </c>
      <c r="F678" s="2" t="s">
        <v>45</v>
      </c>
      <c r="G678" t="s">
        <v>22</v>
      </c>
      <c r="H678" t="s">
        <v>23</v>
      </c>
      <c r="I678" t="s">
        <v>17</v>
      </c>
      <c r="J678">
        <v>1</v>
      </c>
      <c r="K678" t="s">
        <v>44</v>
      </c>
      <c r="L678" t="s">
        <v>18</v>
      </c>
      <c r="M678" t="s">
        <v>36</v>
      </c>
      <c r="N678">
        <v>47</v>
      </c>
      <c r="O678" t="s">
        <v>20</v>
      </c>
    </row>
    <row r="679" spans="1:15" x14ac:dyDescent="0.25">
      <c r="A679">
        <v>678</v>
      </c>
      <c r="B679" t="s">
        <v>13</v>
      </c>
      <c r="C679" t="s">
        <v>21</v>
      </c>
      <c r="D679">
        <v>60000</v>
      </c>
      <c r="E679">
        <v>4</v>
      </c>
      <c r="F679" s="2" t="s">
        <v>45</v>
      </c>
      <c r="G679" t="s">
        <v>35</v>
      </c>
      <c r="H679" t="s">
        <v>16</v>
      </c>
      <c r="I679" t="s">
        <v>20</v>
      </c>
      <c r="J679">
        <v>0</v>
      </c>
      <c r="K679" t="s">
        <v>43</v>
      </c>
      <c r="L679" t="s">
        <v>18</v>
      </c>
      <c r="M679" t="s">
        <v>36</v>
      </c>
      <c r="N679">
        <v>47</v>
      </c>
      <c r="O679" t="s">
        <v>20</v>
      </c>
    </row>
    <row r="680" spans="1:15" x14ac:dyDescent="0.25">
      <c r="A680">
        <v>679</v>
      </c>
      <c r="B680" t="s">
        <v>13</v>
      </c>
      <c r="C680" t="s">
        <v>21</v>
      </c>
      <c r="D680">
        <v>80000</v>
      </c>
      <c r="E680">
        <v>5</v>
      </c>
      <c r="F680" s="2" t="s">
        <v>45</v>
      </c>
      <c r="G680" t="s">
        <v>15</v>
      </c>
      <c r="H680" t="s">
        <v>32</v>
      </c>
      <c r="I680" t="s">
        <v>20</v>
      </c>
      <c r="J680">
        <v>2</v>
      </c>
      <c r="K680" t="s">
        <v>44</v>
      </c>
      <c r="L680" t="s">
        <v>25</v>
      </c>
      <c r="M680" t="s">
        <v>19</v>
      </c>
      <c r="N680">
        <v>62</v>
      </c>
      <c r="O680" t="s">
        <v>20</v>
      </c>
    </row>
    <row r="681" spans="1:15" x14ac:dyDescent="0.25">
      <c r="A681">
        <v>680</v>
      </c>
      <c r="B681" t="s">
        <v>13</v>
      </c>
      <c r="C681" t="s">
        <v>21</v>
      </c>
      <c r="D681">
        <v>60000</v>
      </c>
      <c r="E681">
        <v>4</v>
      </c>
      <c r="F681" s="2" t="s">
        <v>45</v>
      </c>
      <c r="G681" t="s">
        <v>15</v>
      </c>
      <c r="H681" t="s">
        <v>32</v>
      </c>
      <c r="I681" t="s">
        <v>17</v>
      </c>
      <c r="J681">
        <v>2</v>
      </c>
      <c r="K681" t="s">
        <v>44</v>
      </c>
      <c r="L681" t="s">
        <v>34</v>
      </c>
      <c r="M681" t="s">
        <v>36</v>
      </c>
      <c r="N681">
        <v>60</v>
      </c>
      <c r="O681" t="s">
        <v>20</v>
      </c>
    </row>
    <row r="682" spans="1:15" x14ac:dyDescent="0.25">
      <c r="A682">
        <v>681</v>
      </c>
      <c r="B682" t="s">
        <v>13</v>
      </c>
      <c r="C682" t="s">
        <v>14</v>
      </c>
      <c r="D682">
        <v>60000</v>
      </c>
      <c r="E682">
        <v>0</v>
      </c>
      <c r="F682" s="2" t="s">
        <v>46</v>
      </c>
      <c r="G682" t="s">
        <v>22</v>
      </c>
      <c r="H682" t="s">
        <v>16</v>
      </c>
      <c r="I682" t="s">
        <v>20</v>
      </c>
      <c r="J682">
        <v>1</v>
      </c>
      <c r="K682" t="s">
        <v>44</v>
      </c>
      <c r="L682" t="s">
        <v>30</v>
      </c>
      <c r="M682" t="s">
        <v>36</v>
      </c>
      <c r="N682">
        <v>33</v>
      </c>
      <c r="O682" t="s">
        <v>20</v>
      </c>
    </row>
    <row r="683" spans="1:15" x14ac:dyDescent="0.25">
      <c r="A683">
        <v>682</v>
      </c>
      <c r="B683" t="s">
        <v>26</v>
      </c>
      <c r="C683" t="s">
        <v>14</v>
      </c>
      <c r="D683">
        <v>80000</v>
      </c>
      <c r="E683">
        <v>4</v>
      </c>
      <c r="F683" s="2" t="s">
        <v>45</v>
      </c>
      <c r="G683" t="s">
        <v>35</v>
      </c>
      <c r="H683" t="s">
        <v>16</v>
      </c>
      <c r="I683" t="s">
        <v>20</v>
      </c>
      <c r="J683">
        <v>0</v>
      </c>
      <c r="K683" t="s">
        <v>43</v>
      </c>
      <c r="L683" t="s">
        <v>18</v>
      </c>
      <c r="M683" t="s">
        <v>36</v>
      </c>
      <c r="N683">
        <v>47</v>
      </c>
      <c r="O683" t="s">
        <v>20</v>
      </c>
    </row>
    <row r="684" spans="1:15" x14ac:dyDescent="0.25">
      <c r="A684">
        <v>683</v>
      </c>
      <c r="B684" t="s">
        <v>13</v>
      </c>
      <c r="C684" t="s">
        <v>21</v>
      </c>
      <c r="D684">
        <v>20000</v>
      </c>
      <c r="E684">
        <v>3</v>
      </c>
      <c r="F684" s="2" t="s">
        <v>45</v>
      </c>
      <c r="G684" t="s">
        <v>33</v>
      </c>
      <c r="H684" t="s">
        <v>23</v>
      </c>
      <c r="I684" t="s">
        <v>20</v>
      </c>
      <c r="J684">
        <v>2</v>
      </c>
      <c r="K684" t="s">
        <v>44</v>
      </c>
      <c r="L684" t="s">
        <v>18</v>
      </c>
      <c r="M684" t="s">
        <v>36</v>
      </c>
      <c r="N684">
        <v>52</v>
      </c>
      <c r="O684" t="s">
        <v>20</v>
      </c>
    </row>
    <row r="685" spans="1:15" x14ac:dyDescent="0.25">
      <c r="A685">
        <v>684</v>
      </c>
      <c r="B685" t="s">
        <v>13</v>
      </c>
      <c r="C685" t="s">
        <v>14</v>
      </c>
      <c r="D685">
        <v>90000</v>
      </c>
      <c r="E685">
        <v>5</v>
      </c>
      <c r="F685" s="2" t="s">
        <v>45</v>
      </c>
      <c r="G685" t="s">
        <v>22</v>
      </c>
      <c r="H685" t="s">
        <v>24</v>
      </c>
      <c r="I685" t="s">
        <v>17</v>
      </c>
      <c r="J685">
        <v>3</v>
      </c>
      <c r="K685" t="s">
        <v>44</v>
      </c>
      <c r="L685" t="s">
        <v>25</v>
      </c>
      <c r="M685" t="s">
        <v>36</v>
      </c>
      <c r="N685">
        <v>40</v>
      </c>
      <c r="O685" t="s">
        <v>20</v>
      </c>
    </row>
    <row r="686" spans="1:15" x14ac:dyDescent="0.25">
      <c r="A686">
        <v>685</v>
      </c>
      <c r="B686" t="s">
        <v>26</v>
      </c>
      <c r="C686" t="s">
        <v>14</v>
      </c>
      <c r="D686">
        <v>60000</v>
      </c>
      <c r="E686">
        <v>4</v>
      </c>
      <c r="F686" s="2" t="s">
        <v>45</v>
      </c>
      <c r="G686" t="s">
        <v>15</v>
      </c>
      <c r="H686" t="s">
        <v>16</v>
      </c>
      <c r="I686" t="s">
        <v>20</v>
      </c>
      <c r="J686">
        <v>2</v>
      </c>
      <c r="K686" t="s">
        <v>44</v>
      </c>
      <c r="L686" t="s">
        <v>18</v>
      </c>
      <c r="M686" t="s">
        <v>36</v>
      </c>
      <c r="N686">
        <v>42</v>
      </c>
      <c r="O686" t="s">
        <v>20</v>
      </c>
    </row>
    <row r="687" spans="1:15" x14ac:dyDescent="0.25">
      <c r="A687">
        <v>686</v>
      </c>
      <c r="B687" t="s">
        <v>26</v>
      </c>
      <c r="C687" t="s">
        <v>14</v>
      </c>
      <c r="D687">
        <v>60000</v>
      </c>
      <c r="E687">
        <v>3</v>
      </c>
      <c r="F687" s="2" t="s">
        <v>45</v>
      </c>
      <c r="G687" t="s">
        <v>35</v>
      </c>
      <c r="H687" t="s">
        <v>32</v>
      </c>
      <c r="I687" t="s">
        <v>17</v>
      </c>
      <c r="J687">
        <v>2</v>
      </c>
      <c r="K687" t="s">
        <v>44</v>
      </c>
      <c r="L687" t="s">
        <v>27</v>
      </c>
      <c r="M687" t="s">
        <v>36</v>
      </c>
      <c r="N687">
        <v>53</v>
      </c>
      <c r="O687" t="s">
        <v>17</v>
      </c>
    </row>
    <row r="688" spans="1:15" x14ac:dyDescent="0.25">
      <c r="A688">
        <v>687</v>
      </c>
      <c r="B688" t="s">
        <v>13</v>
      </c>
      <c r="C688" t="s">
        <v>14</v>
      </c>
      <c r="D688">
        <v>40000</v>
      </c>
      <c r="E688">
        <v>1</v>
      </c>
      <c r="F688" s="2" t="s">
        <v>45</v>
      </c>
      <c r="G688" t="s">
        <v>22</v>
      </c>
      <c r="H688" t="s">
        <v>23</v>
      </c>
      <c r="I688" t="s">
        <v>17</v>
      </c>
      <c r="J688">
        <v>1</v>
      </c>
      <c r="K688" t="s">
        <v>44</v>
      </c>
      <c r="L688" t="s">
        <v>30</v>
      </c>
      <c r="M688" t="s">
        <v>36</v>
      </c>
      <c r="N688">
        <v>51</v>
      </c>
      <c r="O688" t="s">
        <v>17</v>
      </c>
    </row>
    <row r="689" spans="1:15" x14ac:dyDescent="0.25">
      <c r="A689">
        <v>688</v>
      </c>
      <c r="B689" t="s">
        <v>26</v>
      </c>
      <c r="C689" t="s">
        <v>21</v>
      </c>
      <c r="D689">
        <v>30000</v>
      </c>
      <c r="E689">
        <v>0</v>
      </c>
      <c r="F689" s="2" t="s">
        <v>46</v>
      </c>
      <c r="G689" t="s">
        <v>22</v>
      </c>
      <c r="H689" t="s">
        <v>16</v>
      </c>
      <c r="I689" t="s">
        <v>17</v>
      </c>
      <c r="J689">
        <v>2</v>
      </c>
      <c r="K689" t="s">
        <v>44</v>
      </c>
      <c r="L689" t="s">
        <v>27</v>
      </c>
      <c r="M689" t="s">
        <v>36</v>
      </c>
      <c r="N689">
        <v>30</v>
      </c>
      <c r="O689" t="s">
        <v>20</v>
      </c>
    </row>
    <row r="690" spans="1:15" x14ac:dyDescent="0.25">
      <c r="A690">
        <v>689</v>
      </c>
      <c r="B690" t="s">
        <v>26</v>
      </c>
      <c r="C690" t="s">
        <v>21</v>
      </c>
      <c r="D690">
        <v>60000</v>
      </c>
      <c r="E690">
        <v>0</v>
      </c>
      <c r="F690" s="2" t="s">
        <v>46</v>
      </c>
      <c r="G690" t="s">
        <v>15</v>
      </c>
      <c r="H690" t="s">
        <v>16</v>
      </c>
      <c r="I690" t="s">
        <v>20</v>
      </c>
      <c r="J690">
        <v>2</v>
      </c>
      <c r="K690" t="s">
        <v>44</v>
      </c>
      <c r="L690" t="s">
        <v>18</v>
      </c>
      <c r="M690" t="s">
        <v>36</v>
      </c>
      <c r="N690">
        <v>30</v>
      </c>
      <c r="O690" t="s">
        <v>20</v>
      </c>
    </row>
    <row r="691" spans="1:15" x14ac:dyDescent="0.25">
      <c r="A691">
        <v>690</v>
      </c>
      <c r="B691" t="s">
        <v>13</v>
      </c>
      <c r="C691" t="s">
        <v>21</v>
      </c>
      <c r="D691">
        <v>30000</v>
      </c>
      <c r="E691">
        <v>0</v>
      </c>
      <c r="F691" s="2" t="s">
        <v>46</v>
      </c>
      <c r="G691" t="s">
        <v>31</v>
      </c>
      <c r="H691" t="s">
        <v>16</v>
      </c>
      <c r="I691" t="s">
        <v>17</v>
      </c>
      <c r="J691">
        <v>2</v>
      </c>
      <c r="K691" t="s">
        <v>44</v>
      </c>
      <c r="L691" t="s">
        <v>27</v>
      </c>
      <c r="M691" t="s">
        <v>36</v>
      </c>
      <c r="N691">
        <v>26</v>
      </c>
      <c r="O691" t="s">
        <v>20</v>
      </c>
    </row>
    <row r="692" spans="1:15" x14ac:dyDescent="0.25">
      <c r="A692">
        <v>691</v>
      </c>
      <c r="B692" t="s">
        <v>26</v>
      </c>
      <c r="C692" t="s">
        <v>14</v>
      </c>
      <c r="D692">
        <v>130000</v>
      </c>
      <c r="E692">
        <v>1</v>
      </c>
      <c r="F692" s="2" t="s">
        <v>45</v>
      </c>
      <c r="G692" t="s">
        <v>15</v>
      </c>
      <c r="H692" t="s">
        <v>32</v>
      </c>
      <c r="I692" t="s">
        <v>20</v>
      </c>
      <c r="J692">
        <v>1</v>
      </c>
      <c r="K692" t="s">
        <v>44</v>
      </c>
      <c r="L692" t="s">
        <v>25</v>
      </c>
      <c r="M692" t="s">
        <v>36</v>
      </c>
      <c r="N692">
        <v>45</v>
      </c>
      <c r="O692" t="s">
        <v>20</v>
      </c>
    </row>
    <row r="693" spans="1:15" x14ac:dyDescent="0.25">
      <c r="A693">
        <v>692</v>
      </c>
      <c r="B693" t="s">
        <v>13</v>
      </c>
      <c r="C693" t="s">
        <v>21</v>
      </c>
      <c r="D693">
        <v>50000</v>
      </c>
      <c r="E693">
        <v>1</v>
      </c>
      <c r="F693" s="2" t="s">
        <v>45</v>
      </c>
      <c r="G693" t="s">
        <v>15</v>
      </c>
      <c r="H693" t="s">
        <v>16</v>
      </c>
      <c r="I693" t="s">
        <v>17</v>
      </c>
      <c r="J693">
        <v>0</v>
      </c>
      <c r="K693" t="s">
        <v>43</v>
      </c>
      <c r="L693" t="s">
        <v>18</v>
      </c>
      <c r="M693" t="s">
        <v>36</v>
      </c>
      <c r="N693">
        <v>34</v>
      </c>
      <c r="O693" t="s">
        <v>17</v>
      </c>
    </row>
    <row r="694" spans="1:15" x14ac:dyDescent="0.25">
      <c r="A694">
        <v>693</v>
      </c>
      <c r="B694" t="s">
        <v>13</v>
      </c>
      <c r="C694" t="s">
        <v>21</v>
      </c>
      <c r="D694">
        <v>70000</v>
      </c>
      <c r="E694">
        <v>1</v>
      </c>
      <c r="F694" s="2" t="s">
        <v>45</v>
      </c>
      <c r="G694" t="s">
        <v>15</v>
      </c>
      <c r="H694" t="s">
        <v>24</v>
      </c>
      <c r="I694" t="s">
        <v>17</v>
      </c>
      <c r="J694">
        <v>1</v>
      </c>
      <c r="K694" t="s">
        <v>44</v>
      </c>
      <c r="L694" t="s">
        <v>25</v>
      </c>
      <c r="M694" t="s">
        <v>36</v>
      </c>
      <c r="N694">
        <v>44</v>
      </c>
      <c r="O694" t="s">
        <v>17</v>
      </c>
    </row>
    <row r="695" spans="1:15" x14ac:dyDescent="0.25">
      <c r="A695">
        <v>694</v>
      </c>
      <c r="B695" t="s">
        <v>26</v>
      </c>
      <c r="C695" t="s">
        <v>14</v>
      </c>
      <c r="D695">
        <v>60000</v>
      </c>
      <c r="E695">
        <v>4</v>
      </c>
      <c r="F695" s="2" t="s">
        <v>45</v>
      </c>
      <c r="G695" t="s">
        <v>15</v>
      </c>
      <c r="H695" t="s">
        <v>16</v>
      </c>
      <c r="I695" t="s">
        <v>20</v>
      </c>
      <c r="J695">
        <v>2</v>
      </c>
      <c r="K695" t="s">
        <v>44</v>
      </c>
      <c r="L695" t="s">
        <v>18</v>
      </c>
      <c r="M695" t="s">
        <v>36</v>
      </c>
      <c r="N695">
        <v>41</v>
      </c>
      <c r="O695" t="s">
        <v>17</v>
      </c>
    </row>
    <row r="696" spans="1:15" x14ac:dyDescent="0.25">
      <c r="A696">
        <v>695</v>
      </c>
      <c r="B696" t="s">
        <v>26</v>
      </c>
      <c r="C696" t="s">
        <v>14</v>
      </c>
      <c r="D696">
        <v>80000</v>
      </c>
      <c r="E696">
        <v>3</v>
      </c>
      <c r="F696" s="2" t="s">
        <v>45</v>
      </c>
      <c r="G696" t="s">
        <v>35</v>
      </c>
      <c r="H696" t="s">
        <v>24</v>
      </c>
      <c r="I696" t="s">
        <v>20</v>
      </c>
      <c r="J696">
        <v>0</v>
      </c>
      <c r="K696" t="s">
        <v>43</v>
      </c>
      <c r="L696" t="s">
        <v>18</v>
      </c>
      <c r="M696" t="s">
        <v>36</v>
      </c>
      <c r="N696">
        <v>36</v>
      </c>
      <c r="O696" t="s">
        <v>17</v>
      </c>
    </row>
    <row r="697" spans="1:15" x14ac:dyDescent="0.25">
      <c r="A697">
        <v>696</v>
      </c>
      <c r="B697" t="s">
        <v>13</v>
      </c>
      <c r="C697" t="s">
        <v>21</v>
      </c>
      <c r="D697">
        <v>80000</v>
      </c>
      <c r="E697">
        <v>5</v>
      </c>
      <c r="F697" s="2" t="s">
        <v>45</v>
      </c>
      <c r="G697" t="s">
        <v>22</v>
      </c>
      <c r="H697" t="s">
        <v>24</v>
      </c>
      <c r="I697" t="s">
        <v>17</v>
      </c>
      <c r="J697">
        <v>2</v>
      </c>
      <c r="K697" t="s">
        <v>44</v>
      </c>
      <c r="L697" t="s">
        <v>18</v>
      </c>
      <c r="M697" t="s">
        <v>36</v>
      </c>
      <c r="N697">
        <v>44</v>
      </c>
      <c r="O697" t="s">
        <v>20</v>
      </c>
    </row>
    <row r="698" spans="1:15" x14ac:dyDescent="0.25">
      <c r="A698">
        <v>697</v>
      </c>
      <c r="B698" t="s">
        <v>26</v>
      </c>
      <c r="C698" t="s">
        <v>21</v>
      </c>
      <c r="D698">
        <v>60000</v>
      </c>
      <c r="E698">
        <v>0</v>
      </c>
      <c r="F698" s="2" t="s">
        <v>46</v>
      </c>
      <c r="G698" t="s">
        <v>22</v>
      </c>
      <c r="H698" t="s">
        <v>24</v>
      </c>
      <c r="I698" t="s">
        <v>20</v>
      </c>
      <c r="J698">
        <v>2</v>
      </c>
      <c r="K698" t="s">
        <v>44</v>
      </c>
      <c r="L698" t="s">
        <v>30</v>
      </c>
      <c r="M698" t="s">
        <v>36</v>
      </c>
      <c r="N698">
        <v>30</v>
      </c>
      <c r="O698" t="s">
        <v>20</v>
      </c>
    </row>
    <row r="699" spans="1:15" x14ac:dyDescent="0.25">
      <c r="A699">
        <v>698</v>
      </c>
      <c r="B699" t="s">
        <v>13</v>
      </c>
      <c r="C699" t="s">
        <v>14</v>
      </c>
      <c r="D699">
        <v>30000</v>
      </c>
      <c r="E699">
        <v>0</v>
      </c>
      <c r="F699" s="2" t="s">
        <v>46</v>
      </c>
      <c r="G699" t="s">
        <v>33</v>
      </c>
      <c r="H699" t="s">
        <v>23</v>
      </c>
      <c r="I699" t="s">
        <v>20</v>
      </c>
      <c r="J699">
        <v>2</v>
      </c>
      <c r="K699" t="s">
        <v>44</v>
      </c>
      <c r="L699" t="s">
        <v>18</v>
      </c>
      <c r="M699" t="s">
        <v>36</v>
      </c>
      <c r="N699">
        <v>28</v>
      </c>
      <c r="O699" t="s">
        <v>20</v>
      </c>
    </row>
    <row r="700" spans="1:15" x14ac:dyDescent="0.25">
      <c r="A700">
        <v>699</v>
      </c>
      <c r="B700" t="s">
        <v>13</v>
      </c>
      <c r="C700" t="s">
        <v>21</v>
      </c>
      <c r="D700">
        <v>20000</v>
      </c>
      <c r="E700">
        <v>2</v>
      </c>
      <c r="F700" s="2" t="s">
        <v>45</v>
      </c>
      <c r="G700" t="s">
        <v>33</v>
      </c>
      <c r="H700" t="s">
        <v>23</v>
      </c>
      <c r="I700" t="s">
        <v>17</v>
      </c>
      <c r="J700">
        <v>2</v>
      </c>
      <c r="K700" t="s">
        <v>44</v>
      </c>
      <c r="L700" t="s">
        <v>30</v>
      </c>
      <c r="M700" t="s">
        <v>36</v>
      </c>
      <c r="N700">
        <v>49</v>
      </c>
      <c r="O700" t="s">
        <v>20</v>
      </c>
    </row>
    <row r="701" spans="1:15" x14ac:dyDescent="0.25">
      <c r="A701">
        <v>700</v>
      </c>
      <c r="B701" t="s">
        <v>26</v>
      </c>
      <c r="C701" t="s">
        <v>21</v>
      </c>
      <c r="D701">
        <v>90000</v>
      </c>
      <c r="E701">
        <v>0</v>
      </c>
      <c r="F701" s="2" t="s">
        <v>46</v>
      </c>
      <c r="G701" t="s">
        <v>22</v>
      </c>
      <c r="H701" t="s">
        <v>24</v>
      </c>
      <c r="I701" t="s">
        <v>20</v>
      </c>
      <c r="J701">
        <v>2</v>
      </c>
      <c r="K701" t="s">
        <v>44</v>
      </c>
      <c r="L701" t="s">
        <v>18</v>
      </c>
      <c r="M701" t="s">
        <v>36</v>
      </c>
      <c r="N701">
        <v>43</v>
      </c>
      <c r="O701" t="s">
        <v>17</v>
      </c>
    </row>
    <row r="702" spans="1:15" x14ac:dyDescent="0.25">
      <c r="A702">
        <v>701</v>
      </c>
      <c r="B702" t="s">
        <v>13</v>
      </c>
      <c r="C702" t="s">
        <v>14</v>
      </c>
      <c r="D702">
        <v>70000</v>
      </c>
      <c r="E702">
        <v>4</v>
      </c>
      <c r="F702" s="2" t="s">
        <v>45</v>
      </c>
      <c r="G702" t="s">
        <v>15</v>
      </c>
      <c r="H702" t="s">
        <v>32</v>
      </c>
      <c r="I702" t="s">
        <v>17</v>
      </c>
      <c r="J702">
        <v>1</v>
      </c>
      <c r="K702" t="s">
        <v>44</v>
      </c>
      <c r="L702" t="s">
        <v>30</v>
      </c>
      <c r="M702" t="s">
        <v>36</v>
      </c>
      <c r="N702">
        <v>59</v>
      </c>
      <c r="O702" t="s">
        <v>20</v>
      </c>
    </row>
    <row r="703" spans="1:15" x14ac:dyDescent="0.25">
      <c r="A703">
        <v>702</v>
      </c>
      <c r="B703" t="s">
        <v>26</v>
      </c>
      <c r="C703" t="s">
        <v>21</v>
      </c>
      <c r="D703">
        <v>30000</v>
      </c>
      <c r="E703">
        <v>0</v>
      </c>
      <c r="F703" s="2" t="s">
        <v>46</v>
      </c>
      <c r="G703" t="s">
        <v>31</v>
      </c>
      <c r="H703" t="s">
        <v>16</v>
      </c>
      <c r="I703" t="s">
        <v>17</v>
      </c>
      <c r="J703">
        <v>2</v>
      </c>
      <c r="K703" t="s">
        <v>44</v>
      </c>
      <c r="L703" t="s">
        <v>27</v>
      </c>
      <c r="M703" t="s">
        <v>36</v>
      </c>
      <c r="N703">
        <v>26</v>
      </c>
      <c r="O703" t="s">
        <v>20</v>
      </c>
    </row>
    <row r="704" spans="1:15" x14ac:dyDescent="0.25">
      <c r="A704">
        <v>703</v>
      </c>
      <c r="B704" t="s">
        <v>13</v>
      </c>
      <c r="C704" t="s">
        <v>21</v>
      </c>
      <c r="D704">
        <v>120000</v>
      </c>
      <c r="E704">
        <v>1</v>
      </c>
      <c r="F704" s="2" t="s">
        <v>45</v>
      </c>
      <c r="G704" t="s">
        <v>31</v>
      </c>
      <c r="H704" t="s">
        <v>24</v>
      </c>
      <c r="I704" t="s">
        <v>17</v>
      </c>
      <c r="J704">
        <v>4</v>
      </c>
      <c r="K704" t="s">
        <v>44</v>
      </c>
      <c r="L704" t="s">
        <v>27</v>
      </c>
      <c r="M704" t="s">
        <v>36</v>
      </c>
      <c r="N704">
        <v>46</v>
      </c>
      <c r="O704" t="s">
        <v>17</v>
      </c>
    </row>
    <row r="705" spans="1:15" x14ac:dyDescent="0.25">
      <c r="A705">
        <v>704</v>
      </c>
      <c r="B705" t="s">
        <v>26</v>
      </c>
      <c r="C705" t="s">
        <v>14</v>
      </c>
      <c r="D705">
        <v>50000</v>
      </c>
      <c r="E705">
        <v>0</v>
      </c>
      <c r="F705" s="2" t="s">
        <v>46</v>
      </c>
      <c r="G705" t="s">
        <v>35</v>
      </c>
      <c r="H705" t="s">
        <v>16</v>
      </c>
      <c r="I705" t="s">
        <v>17</v>
      </c>
      <c r="J705">
        <v>0</v>
      </c>
      <c r="K705" t="s">
        <v>43</v>
      </c>
      <c r="L705" t="s">
        <v>30</v>
      </c>
      <c r="M705" t="s">
        <v>36</v>
      </c>
      <c r="N705">
        <v>33</v>
      </c>
      <c r="O705" t="s">
        <v>20</v>
      </c>
    </row>
    <row r="706" spans="1:15" x14ac:dyDescent="0.25">
      <c r="A706">
        <v>705</v>
      </c>
      <c r="B706" t="s">
        <v>26</v>
      </c>
      <c r="C706" t="s">
        <v>14</v>
      </c>
      <c r="D706">
        <v>40000</v>
      </c>
      <c r="E706">
        <v>0</v>
      </c>
      <c r="F706" s="2" t="s">
        <v>46</v>
      </c>
      <c r="G706" t="s">
        <v>15</v>
      </c>
      <c r="H706" t="s">
        <v>24</v>
      </c>
      <c r="I706" t="s">
        <v>17</v>
      </c>
      <c r="J706">
        <v>1</v>
      </c>
      <c r="K706" t="s">
        <v>44</v>
      </c>
      <c r="L706" t="s">
        <v>25</v>
      </c>
      <c r="M706" t="s">
        <v>36</v>
      </c>
      <c r="N706">
        <v>42</v>
      </c>
      <c r="O706" t="s">
        <v>17</v>
      </c>
    </row>
    <row r="707" spans="1:15" x14ac:dyDescent="0.25">
      <c r="A707">
        <v>706</v>
      </c>
      <c r="B707" t="s">
        <v>13</v>
      </c>
      <c r="C707" t="s">
        <v>14</v>
      </c>
      <c r="D707">
        <v>70000</v>
      </c>
      <c r="E707">
        <v>4</v>
      </c>
      <c r="F707" s="2" t="s">
        <v>45</v>
      </c>
      <c r="G707" t="s">
        <v>15</v>
      </c>
      <c r="H707" t="s">
        <v>32</v>
      </c>
      <c r="I707" t="s">
        <v>17</v>
      </c>
      <c r="J707">
        <v>1</v>
      </c>
      <c r="K707" t="s">
        <v>44</v>
      </c>
      <c r="L707" t="s">
        <v>34</v>
      </c>
      <c r="M707" t="s">
        <v>36</v>
      </c>
      <c r="N707">
        <v>59</v>
      </c>
      <c r="O707" t="s">
        <v>20</v>
      </c>
    </row>
    <row r="708" spans="1:15" x14ac:dyDescent="0.25">
      <c r="A708">
        <v>707</v>
      </c>
      <c r="B708" t="s">
        <v>26</v>
      </c>
      <c r="C708" t="s">
        <v>14</v>
      </c>
      <c r="D708">
        <v>60000</v>
      </c>
      <c r="E708">
        <v>0</v>
      </c>
      <c r="F708" s="2" t="s">
        <v>46</v>
      </c>
      <c r="G708" t="s">
        <v>22</v>
      </c>
      <c r="H708" t="s">
        <v>16</v>
      </c>
      <c r="I708" t="s">
        <v>20</v>
      </c>
      <c r="J708">
        <v>1</v>
      </c>
      <c r="K708" t="s">
        <v>44</v>
      </c>
      <c r="L708" t="s">
        <v>30</v>
      </c>
      <c r="M708" t="s">
        <v>36</v>
      </c>
      <c r="N708">
        <v>33</v>
      </c>
      <c r="O708" t="s">
        <v>17</v>
      </c>
    </row>
    <row r="709" spans="1:15" x14ac:dyDescent="0.25">
      <c r="A709">
        <v>708</v>
      </c>
      <c r="B709" t="s">
        <v>13</v>
      </c>
      <c r="C709" t="s">
        <v>14</v>
      </c>
      <c r="D709">
        <v>70000</v>
      </c>
      <c r="E709">
        <v>1</v>
      </c>
      <c r="F709" s="2" t="s">
        <v>45</v>
      </c>
      <c r="G709" t="s">
        <v>22</v>
      </c>
      <c r="H709" t="s">
        <v>16</v>
      </c>
      <c r="I709" t="s">
        <v>17</v>
      </c>
      <c r="J709">
        <v>1</v>
      </c>
      <c r="K709" t="s">
        <v>44</v>
      </c>
      <c r="L709" t="s">
        <v>18</v>
      </c>
      <c r="M709" t="s">
        <v>36</v>
      </c>
      <c r="N709">
        <v>44</v>
      </c>
      <c r="O709" t="s">
        <v>17</v>
      </c>
    </row>
    <row r="710" spans="1:15" x14ac:dyDescent="0.25">
      <c r="A710">
        <v>709</v>
      </c>
      <c r="B710" t="s">
        <v>13</v>
      </c>
      <c r="C710" t="s">
        <v>21</v>
      </c>
      <c r="D710">
        <v>70000</v>
      </c>
      <c r="E710">
        <v>5</v>
      </c>
      <c r="F710" s="2" t="s">
        <v>45</v>
      </c>
      <c r="G710" t="s">
        <v>15</v>
      </c>
      <c r="H710" t="s">
        <v>32</v>
      </c>
      <c r="I710" t="s">
        <v>17</v>
      </c>
      <c r="J710">
        <v>4</v>
      </c>
      <c r="K710" t="s">
        <v>44</v>
      </c>
      <c r="L710" t="s">
        <v>34</v>
      </c>
      <c r="M710" t="s">
        <v>36</v>
      </c>
      <c r="N710">
        <v>60</v>
      </c>
      <c r="O710" t="s">
        <v>20</v>
      </c>
    </row>
    <row r="711" spans="1:15" x14ac:dyDescent="0.25">
      <c r="A711">
        <v>710</v>
      </c>
      <c r="B711" t="s">
        <v>26</v>
      </c>
      <c r="C711" t="s">
        <v>14</v>
      </c>
      <c r="D711">
        <v>70000</v>
      </c>
      <c r="E711">
        <v>2</v>
      </c>
      <c r="F711" s="2" t="s">
        <v>45</v>
      </c>
      <c r="G711" t="s">
        <v>15</v>
      </c>
      <c r="H711" t="s">
        <v>32</v>
      </c>
      <c r="I711" t="s">
        <v>17</v>
      </c>
      <c r="J711">
        <v>1</v>
      </c>
      <c r="K711" t="s">
        <v>44</v>
      </c>
      <c r="L711" t="s">
        <v>34</v>
      </c>
      <c r="M711" t="s">
        <v>36</v>
      </c>
      <c r="N711">
        <v>59</v>
      </c>
      <c r="O711" t="s">
        <v>20</v>
      </c>
    </row>
    <row r="712" spans="1:15" x14ac:dyDescent="0.25">
      <c r="A712">
        <v>711</v>
      </c>
      <c r="B712" t="s">
        <v>13</v>
      </c>
      <c r="C712" t="s">
        <v>21</v>
      </c>
      <c r="D712">
        <v>60000</v>
      </c>
      <c r="E712">
        <v>0</v>
      </c>
      <c r="F712" s="2" t="s">
        <v>46</v>
      </c>
      <c r="G712" t="s">
        <v>31</v>
      </c>
      <c r="H712" t="s">
        <v>24</v>
      </c>
      <c r="I712" t="s">
        <v>17</v>
      </c>
      <c r="J712">
        <v>2</v>
      </c>
      <c r="K712" t="s">
        <v>44</v>
      </c>
      <c r="L712" t="s">
        <v>27</v>
      </c>
      <c r="M712" t="s">
        <v>36</v>
      </c>
      <c r="N712">
        <v>32</v>
      </c>
      <c r="O712" t="s">
        <v>17</v>
      </c>
    </row>
    <row r="713" spans="1:15" x14ac:dyDescent="0.25">
      <c r="A713">
        <v>712</v>
      </c>
      <c r="B713" t="s">
        <v>13</v>
      </c>
      <c r="C713" t="s">
        <v>14</v>
      </c>
      <c r="D713">
        <v>70000</v>
      </c>
      <c r="E713">
        <v>2</v>
      </c>
      <c r="F713" s="2" t="s">
        <v>45</v>
      </c>
      <c r="G713" t="s">
        <v>22</v>
      </c>
      <c r="H713" t="s">
        <v>24</v>
      </c>
      <c r="I713" t="s">
        <v>17</v>
      </c>
      <c r="J713">
        <v>1</v>
      </c>
      <c r="K713" t="s">
        <v>44</v>
      </c>
      <c r="L713" t="s">
        <v>34</v>
      </c>
      <c r="M713" t="s">
        <v>36</v>
      </c>
      <c r="N713">
        <v>58</v>
      </c>
      <c r="O713" t="s">
        <v>20</v>
      </c>
    </row>
    <row r="714" spans="1:15" x14ac:dyDescent="0.25">
      <c r="A714">
        <v>713</v>
      </c>
      <c r="B714" t="s">
        <v>13</v>
      </c>
      <c r="C714" t="s">
        <v>14</v>
      </c>
      <c r="D714">
        <v>40000</v>
      </c>
      <c r="E714">
        <v>2</v>
      </c>
      <c r="F714" s="2" t="s">
        <v>45</v>
      </c>
      <c r="G714" t="s">
        <v>31</v>
      </c>
      <c r="H714" t="s">
        <v>24</v>
      </c>
      <c r="I714" t="s">
        <v>20</v>
      </c>
      <c r="J714">
        <v>2</v>
      </c>
      <c r="K714" t="s">
        <v>44</v>
      </c>
      <c r="L714" t="s">
        <v>25</v>
      </c>
      <c r="M714" t="s">
        <v>36</v>
      </c>
      <c r="N714">
        <v>59</v>
      </c>
      <c r="O714" t="s">
        <v>20</v>
      </c>
    </row>
    <row r="715" spans="1:15" x14ac:dyDescent="0.25">
      <c r="A715">
        <v>714</v>
      </c>
      <c r="B715" t="s">
        <v>26</v>
      </c>
      <c r="C715" t="s">
        <v>14</v>
      </c>
      <c r="D715">
        <v>70000</v>
      </c>
      <c r="E715">
        <v>2</v>
      </c>
      <c r="F715" s="2" t="s">
        <v>45</v>
      </c>
      <c r="G715" t="s">
        <v>15</v>
      </c>
      <c r="H715" t="s">
        <v>16</v>
      </c>
      <c r="I715" t="s">
        <v>17</v>
      </c>
      <c r="J715">
        <v>1</v>
      </c>
      <c r="K715" t="s">
        <v>44</v>
      </c>
      <c r="L715" t="s">
        <v>25</v>
      </c>
      <c r="M715" t="s">
        <v>36</v>
      </c>
      <c r="N715">
        <v>38</v>
      </c>
      <c r="O715" t="s">
        <v>20</v>
      </c>
    </row>
    <row r="716" spans="1:15" x14ac:dyDescent="0.25">
      <c r="A716">
        <v>715</v>
      </c>
      <c r="B716" t="s">
        <v>13</v>
      </c>
      <c r="C716" t="s">
        <v>21</v>
      </c>
      <c r="D716">
        <v>40000</v>
      </c>
      <c r="E716">
        <v>0</v>
      </c>
      <c r="F716" s="2" t="s">
        <v>46</v>
      </c>
      <c r="G716" t="s">
        <v>31</v>
      </c>
      <c r="H716" t="s">
        <v>16</v>
      </c>
      <c r="I716" t="s">
        <v>17</v>
      </c>
      <c r="J716">
        <v>2</v>
      </c>
      <c r="K716" t="s">
        <v>44</v>
      </c>
      <c r="L716" t="s">
        <v>27</v>
      </c>
      <c r="M716" t="s">
        <v>36</v>
      </c>
      <c r="N716">
        <v>28</v>
      </c>
      <c r="O716" t="s">
        <v>17</v>
      </c>
    </row>
    <row r="717" spans="1:15" x14ac:dyDescent="0.25">
      <c r="A717">
        <v>716</v>
      </c>
      <c r="B717" t="s">
        <v>13</v>
      </c>
      <c r="C717" t="s">
        <v>14</v>
      </c>
      <c r="D717">
        <v>60000</v>
      </c>
      <c r="E717">
        <v>1</v>
      </c>
      <c r="F717" s="2" t="s">
        <v>45</v>
      </c>
      <c r="G717" t="s">
        <v>35</v>
      </c>
      <c r="H717" t="s">
        <v>24</v>
      </c>
      <c r="I717" t="s">
        <v>17</v>
      </c>
      <c r="J717">
        <v>0</v>
      </c>
      <c r="K717" t="s">
        <v>43</v>
      </c>
      <c r="L717" t="s">
        <v>25</v>
      </c>
      <c r="M717" t="s">
        <v>36</v>
      </c>
      <c r="N717">
        <v>37</v>
      </c>
      <c r="O717" t="s">
        <v>17</v>
      </c>
    </row>
    <row r="718" spans="1:15" x14ac:dyDescent="0.25">
      <c r="A718">
        <v>717</v>
      </c>
      <c r="B718" t="s">
        <v>26</v>
      </c>
      <c r="C718" t="s">
        <v>14</v>
      </c>
      <c r="D718">
        <v>80000</v>
      </c>
      <c r="E718">
        <v>0</v>
      </c>
      <c r="F718" s="2" t="s">
        <v>46</v>
      </c>
      <c r="G718" t="s">
        <v>35</v>
      </c>
      <c r="H718" t="s">
        <v>16</v>
      </c>
      <c r="I718" t="s">
        <v>20</v>
      </c>
      <c r="J718">
        <v>0</v>
      </c>
      <c r="K718" t="s">
        <v>43</v>
      </c>
      <c r="L718" t="s">
        <v>18</v>
      </c>
      <c r="M718" t="s">
        <v>36</v>
      </c>
      <c r="N718">
        <v>40</v>
      </c>
      <c r="O718" t="s">
        <v>20</v>
      </c>
    </row>
    <row r="719" spans="1:15" x14ac:dyDescent="0.25">
      <c r="A719">
        <v>718</v>
      </c>
      <c r="B719" t="s">
        <v>26</v>
      </c>
      <c r="C719" t="s">
        <v>21</v>
      </c>
      <c r="D719">
        <v>90000</v>
      </c>
      <c r="E719">
        <v>4</v>
      </c>
      <c r="F719" s="2" t="s">
        <v>45</v>
      </c>
      <c r="G719" t="s">
        <v>15</v>
      </c>
      <c r="H719" t="s">
        <v>32</v>
      </c>
      <c r="I719" t="s">
        <v>17</v>
      </c>
      <c r="J719">
        <v>1</v>
      </c>
      <c r="K719" t="s">
        <v>44</v>
      </c>
      <c r="L719" t="s">
        <v>30</v>
      </c>
      <c r="M719" t="s">
        <v>36</v>
      </c>
      <c r="N719">
        <v>38</v>
      </c>
      <c r="O719" t="s">
        <v>17</v>
      </c>
    </row>
    <row r="720" spans="1:15" x14ac:dyDescent="0.25">
      <c r="A720">
        <v>719</v>
      </c>
      <c r="B720" t="s">
        <v>13</v>
      </c>
      <c r="C720" t="s">
        <v>21</v>
      </c>
      <c r="D720">
        <v>70000</v>
      </c>
      <c r="E720">
        <v>4</v>
      </c>
      <c r="F720" s="2" t="s">
        <v>45</v>
      </c>
      <c r="G720" t="s">
        <v>35</v>
      </c>
      <c r="H720" t="s">
        <v>24</v>
      </c>
      <c r="I720" t="s">
        <v>17</v>
      </c>
      <c r="J720">
        <v>0</v>
      </c>
      <c r="K720" t="s">
        <v>43</v>
      </c>
      <c r="L720" t="s">
        <v>25</v>
      </c>
      <c r="M720" t="s">
        <v>36</v>
      </c>
      <c r="N720">
        <v>36</v>
      </c>
      <c r="O720" t="s">
        <v>17</v>
      </c>
    </row>
    <row r="721" spans="1:15" x14ac:dyDescent="0.25">
      <c r="A721">
        <v>720</v>
      </c>
      <c r="B721" t="s">
        <v>13</v>
      </c>
      <c r="C721" t="s">
        <v>14</v>
      </c>
      <c r="D721">
        <v>70000</v>
      </c>
      <c r="E721">
        <v>5</v>
      </c>
      <c r="F721" s="2" t="s">
        <v>45</v>
      </c>
      <c r="G721" t="s">
        <v>35</v>
      </c>
      <c r="H721" t="s">
        <v>24</v>
      </c>
      <c r="I721" t="s">
        <v>17</v>
      </c>
      <c r="J721">
        <v>2</v>
      </c>
      <c r="K721" t="s">
        <v>44</v>
      </c>
      <c r="L721" t="s">
        <v>18</v>
      </c>
      <c r="M721" t="s">
        <v>36</v>
      </c>
      <c r="N721">
        <v>37</v>
      </c>
      <c r="O721" t="s">
        <v>20</v>
      </c>
    </row>
    <row r="722" spans="1:15" x14ac:dyDescent="0.25">
      <c r="A722">
        <v>721</v>
      </c>
      <c r="B722" t="s">
        <v>26</v>
      </c>
      <c r="C722" t="s">
        <v>14</v>
      </c>
      <c r="D722">
        <v>40000</v>
      </c>
      <c r="E722">
        <v>5</v>
      </c>
      <c r="F722" s="2" t="s">
        <v>45</v>
      </c>
      <c r="G722" t="s">
        <v>31</v>
      </c>
      <c r="H722" t="s">
        <v>24</v>
      </c>
      <c r="I722" t="s">
        <v>20</v>
      </c>
      <c r="J722">
        <v>3</v>
      </c>
      <c r="K722" t="s">
        <v>44</v>
      </c>
      <c r="L722" t="s">
        <v>25</v>
      </c>
      <c r="M722" t="s">
        <v>36</v>
      </c>
      <c r="N722">
        <v>60</v>
      </c>
      <c r="O722" t="s">
        <v>17</v>
      </c>
    </row>
    <row r="723" spans="1:15" x14ac:dyDescent="0.25">
      <c r="A723">
        <v>722</v>
      </c>
      <c r="B723" t="s">
        <v>26</v>
      </c>
      <c r="C723" t="s">
        <v>21</v>
      </c>
      <c r="D723">
        <v>110000</v>
      </c>
      <c r="E723">
        <v>4</v>
      </c>
      <c r="F723" s="2" t="s">
        <v>45</v>
      </c>
      <c r="G723" t="s">
        <v>15</v>
      </c>
      <c r="H723" t="s">
        <v>32</v>
      </c>
      <c r="I723" t="s">
        <v>17</v>
      </c>
      <c r="J723">
        <v>4</v>
      </c>
      <c r="K723" t="s">
        <v>44</v>
      </c>
      <c r="L723" t="s">
        <v>27</v>
      </c>
      <c r="M723" t="s">
        <v>36</v>
      </c>
      <c r="N723">
        <v>42</v>
      </c>
      <c r="O723" t="s">
        <v>17</v>
      </c>
    </row>
    <row r="724" spans="1:15" x14ac:dyDescent="0.25">
      <c r="A724">
        <v>723</v>
      </c>
      <c r="B724" t="s">
        <v>26</v>
      </c>
      <c r="C724" t="s">
        <v>14</v>
      </c>
      <c r="D724">
        <v>70000</v>
      </c>
      <c r="E724">
        <v>3</v>
      </c>
      <c r="F724" s="2" t="s">
        <v>45</v>
      </c>
      <c r="G724" t="s">
        <v>35</v>
      </c>
      <c r="H724" t="s">
        <v>32</v>
      </c>
      <c r="I724" t="s">
        <v>20</v>
      </c>
      <c r="J724">
        <v>2</v>
      </c>
      <c r="K724" t="s">
        <v>44</v>
      </c>
      <c r="L724" t="s">
        <v>30</v>
      </c>
      <c r="M724" t="s">
        <v>36</v>
      </c>
      <c r="N724">
        <v>53</v>
      </c>
      <c r="O724" t="s">
        <v>20</v>
      </c>
    </row>
    <row r="725" spans="1:15" x14ac:dyDescent="0.25">
      <c r="A725">
        <v>724</v>
      </c>
      <c r="B725" t="s">
        <v>26</v>
      </c>
      <c r="C725" t="s">
        <v>14</v>
      </c>
      <c r="D725">
        <v>80000</v>
      </c>
      <c r="E725">
        <v>2</v>
      </c>
      <c r="F725" s="2" t="s">
        <v>45</v>
      </c>
      <c r="G725" t="s">
        <v>33</v>
      </c>
      <c r="H725" t="s">
        <v>16</v>
      </c>
      <c r="I725" t="s">
        <v>17</v>
      </c>
      <c r="J725">
        <v>2</v>
      </c>
      <c r="K725" t="s">
        <v>44</v>
      </c>
      <c r="L725" t="s">
        <v>27</v>
      </c>
      <c r="M725" t="s">
        <v>36</v>
      </c>
      <c r="N725">
        <v>49</v>
      </c>
      <c r="O725" t="s">
        <v>20</v>
      </c>
    </row>
    <row r="726" spans="1:15" x14ac:dyDescent="0.25">
      <c r="A726">
        <v>725</v>
      </c>
      <c r="B726" t="s">
        <v>13</v>
      </c>
      <c r="C726" t="s">
        <v>21</v>
      </c>
      <c r="D726">
        <v>30000</v>
      </c>
      <c r="E726">
        <v>2</v>
      </c>
      <c r="F726" s="2" t="s">
        <v>45</v>
      </c>
      <c r="G726" t="s">
        <v>31</v>
      </c>
      <c r="H726" t="s">
        <v>16</v>
      </c>
      <c r="I726" t="s">
        <v>17</v>
      </c>
      <c r="J726">
        <v>2</v>
      </c>
      <c r="K726" t="s">
        <v>44</v>
      </c>
      <c r="L726" t="s">
        <v>30</v>
      </c>
      <c r="M726" t="s">
        <v>36</v>
      </c>
      <c r="N726">
        <v>49</v>
      </c>
      <c r="O726" t="s">
        <v>20</v>
      </c>
    </row>
    <row r="727" spans="1:15" x14ac:dyDescent="0.25">
      <c r="A727">
        <v>726</v>
      </c>
      <c r="B727" t="s">
        <v>13</v>
      </c>
      <c r="C727" t="s">
        <v>21</v>
      </c>
      <c r="D727">
        <v>130000</v>
      </c>
      <c r="E727">
        <v>2</v>
      </c>
      <c r="F727" s="2" t="s">
        <v>45</v>
      </c>
      <c r="G727" t="s">
        <v>35</v>
      </c>
      <c r="H727" t="s">
        <v>32</v>
      </c>
      <c r="I727" t="s">
        <v>17</v>
      </c>
      <c r="J727">
        <v>3</v>
      </c>
      <c r="K727" t="s">
        <v>44</v>
      </c>
      <c r="L727" t="s">
        <v>18</v>
      </c>
      <c r="M727" t="s">
        <v>36</v>
      </c>
      <c r="N727">
        <v>42</v>
      </c>
      <c r="O727" t="s">
        <v>17</v>
      </c>
    </row>
    <row r="728" spans="1:15" x14ac:dyDescent="0.25">
      <c r="A728">
        <v>727</v>
      </c>
      <c r="B728" t="s">
        <v>13</v>
      </c>
      <c r="C728" t="s">
        <v>21</v>
      </c>
      <c r="D728">
        <v>20000</v>
      </c>
      <c r="E728">
        <v>2</v>
      </c>
      <c r="F728" s="2" t="s">
        <v>45</v>
      </c>
      <c r="G728" t="s">
        <v>31</v>
      </c>
      <c r="H728" t="s">
        <v>29</v>
      </c>
      <c r="I728" t="s">
        <v>20</v>
      </c>
      <c r="J728">
        <v>2</v>
      </c>
      <c r="K728" t="s">
        <v>44</v>
      </c>
      <c r="L728" t="s">
        <v>18</v>
      </c>
      <c r="M728" t="s">
        <v>36</v>
      </c>
      <c r="N728">
        <v>53</v>
      </c>
      <c r="O728" t="s">
        <v>20</v>
      </c>
    </row>
    <row r="729" spans="1:15" x14ac:dyDescent="0.25">
      <c r="A729">
        <v>728</v>
      </c>
      <c r="B729" t="s">
        <v>13</v>
      </c>
      <c r="C729" t="s">
        <v>21</v>
      </c>
      <c r="D729">
        <v>70000</v>
      </c>
      <c r="E729">
        <v>1</v>
      </c>
      <c r="F729" s="2" t="s">
        <v>45</v>
      </c>
      <c r="G729" t="s">
        <v>35</v>
      </c>
      <c r="H729" t="s">
        <v>24</v>
      </c>
      <c r="I729" t="s">
        <v>17</v>
      </c>
      <c r="J729">
        <v>1</v>
      </c>
      <c r="K729" t="s">
        <v>44</v>
      </c>
      <c r="L729" t="s">
        <v>18</v>
      </c>
      <c r="M729" t="s">
        <v>36</v>
      </c>
      <c r="N729">
        <v>46</v>
      </c>
      <c r="O729" t="s">
        <v>17</v>
      </c>
    </row>
    <row r="730" spans="1:15" x14ac:dyDescent="0.25">
      <c r="A730">
        <v>729</v>
      </c>
      <c r="B730" t="s">
        <v>13</v>
      </c>
      <c r="C730" t="s">
        <v>21</v>
      </c>
      <c r="D730">
        <v>40000</v>
      </c>
      <c r="E730">
        <v>0</v>
      </c>
      <c r="F730" s="2" t="s">
        <v>46</v>
      </c>
      <c r="G730" t="s">
        <v>31</v>
      </c>
      <c r="H730" t="s">
        <v>16</v>
      </c>
      <c r="I730" t="s">
        <v>17</v>
      </c>
      <c r="J730">
        <v>2</v>
      </c>
      <c r="K730" t="s">
        <v>44</v>
      </c>
      <c r="L730" t="s">
        <v>27</v>
      </c>
      <c r="M730" t="s">
        <v>36</v>
      </c>
      <c r="N730">
        <v>27</v>
      </c>
      <c r="O730" t="s">
        <v>20</v>
      </c>
    </row>
    <row r="731" spans="1:15" x14ac:dyDescent="0.25">
      <c r="A731">
        <v>730</v>
      </c>
      <c r="B731" t="s">
        <v>13</v>
      </c>
      <c r="C731" t="s">
        <v>14</v>
      </c>
      <c r="D731">
        <v>60000</v>
      </c>
      <c r="E731">
        <v>3</v>
      </c>
      <c r="F731" s="2" t="s">
        <v>45</v>
      </c>
      <c r="G731" t="s">
        <v>15</v>
      </c>
      <c r="H731" t="s">
        <v>24</v>
      </c>
      <c r="I731" t="s">
        <v>17</v>
      </c>
      <c r="J731">
        <v>1</v>
      </c>
      <c r="K731" t="s">
        <v>44</v>
      </c>
      <c r="L731" t="s">
        <v>18</v>
      </c>
      <c r="M731" t="s">
        <v>36</v>
      </c>
      <c r="N731">
        <v>48</v>
      </c>
      <c r="O731" t="s">
        <v>17</v>
      </c>
    </row>
    <row r="732" spans="1:15" x14ac:dyDescent="0.25">
      <c r="A732">
        <v>731</v>
      </c>
      <c r="B732" t="s">
        <v>26</v>
      </c>
      <c r="C732" t="s">
        <v>14</v>
      </c>
      <c r="D732">
        <v>60000</v>
      </c>
      <c r="E732">
        <v>4</v>
      </c>
      <c r="F732" s="2" t="s">
        <v>45</v>
      </c>
      <c r="G732" t="s">
        <v>15</v>
      </c>
      <c r="H732" t="s">
        <v>16</v>
      </c>
      <c r="I732" t="s">
        <v>17</v>
      </c>
      <c r="J732">
        <v>2</v>
      </c>
      <c r="K732" t="s">
        <v>44</v>
      </c>
      <c r="L732" t="s">
        <v>25</v>
      </c>
      <c r="M732" t="s">
        <v>36</v>
      </c>
      <c r="N732">
        <v>41</v>
      </c>
      <c r="O732" t="s">
        <v>17</v>
      </c>
    </row>
    <row r="733" spans="1:15" x14ac:dyDescent="0.25">
      <c r="A733">
        <v>732</v>
      </c>
      <c r="B733" t="s">
        <v>13</v>
      </c>
      <c r="C733" t="s">
        <v>21</v>
      </c>
      <c r="D733">
        <v>60000</v>
      </c>
      <c r="E733">
        <v>2</v>
      </c>
      <c r="F733" s="2" t="s">
        <v>45</v>
      </c>
      <c r="G733" t="s">
        <v>31</v>
      </c>
      <c r="H733" t="s">
        <v>24</v>
      </c>
      <c r="I733" t="s">
        <v>20</v>
      </c>
      <c r="J733">
        <v>2</v>
      </c>
      <c r="K733" t="s">
        <v>44</v>
      </c>
      <c r="L733" t="s">
        <v>30</v>
      </c>
      <c r="M733" t="s">
        <v>36</v>
      </c>
      <c r="N733">
        <v>49</v>
      </c>
      <c r="O733" t="s">
        <v>17</v>
      </c>
    </row>
    <row r="734" spans="1:15" x14ac:dyDescent="0.25">
      <c r="A734">
        <v>733</v>
      </c>
      <c r="B734" t="s">
        <v>26</v>
      </c>
      <c r="C734" t="s">
        <v>14</v>
      </c>
      <c r="D734">
        <v>60000</v>
      </c>
      <c r="E734">
        <v>0</v>
      </c>
      <c r="F734" s="2" t="s">
        <v>46</v>
      </c>
      <c r="G734" t="s">
        <v>35</v>
      </c>
      <c r="H734" t="s">
        <v>24</v>
      </c>
      <c r="I734" t="s">
        <v>17</v>
      </c>
      <c r="J734">
        <v>1</v>
      </c>
      <c r="K734" t="s">
        <v>44</v>
      </c>
      <c r="L734" t="s">
        <v>25</v>
      </c>
      <c r="M734" t="s">
        <v>36</v>
      </c>
      <c r="N734">
        <v>38</v>
      </c>
      <c r="O734" t="s">
        <v>17</v>
      </c>
    </row>
    <row r="735" spans="1:15" x14ac:dyDescent="0.25">
      <c r="A735">
        <v>734</v>
      </c>
      <c r="B735" t="s">
        <v>26</v>
      </c>
      <c r="C735" t="s">
        <v>21</v>
      </c>
      <c r="D735">
        <v>130000</v>
      </c>
      <c r="E735">
        <v>1</v>
      </c>
      <c r="F735" s="2" t="s">
        <v>45</v>
      </c>
      <c r="G735" t="s">
        <v>15</v>
      </c>
      <c r="H735" t="s">
        <v>32</v>
      </c>
      <c r="I735" t="s">
        <v>20</v>
      </c>
      <c r="J735">
        <v>4</v>
      </c>
      <c r="K735" t="s">
        <v>44</v>
      </c>
      <c r="L735" t="s">
        <v>18</v>
      </c>
      <c r="M735" t="s">
        <v>36</v>
      </c>
      <c r="N735">
        <v>44</v>
      </c>
      <c r="O735" t="s">
        <v>20</v>
      </c>
    </row>
    <row r="736" spans="1:15" x14ac:dyDescent="0.25">
      <c r="A736">
        <v>735</v>
      </c>
      <c r="B736" t="s">
        <v>26</v>
      </c>
      <c r="C736" t="s">
        <v>14</v>
      </c>
      <c r="D736">
        <v>130000</v>
      </c>
      <c r="E736">
        <v>1</v>
      </c>
      <c r="F736" s="2" t="s">
        <v>45</v>
      </c>
      <c r="G736" t="s">
        <v>15</v>
      </c>
      <c r="H736" t="s">
        <v>32</v>
      </c>
      <c r="I736" t="s">
        <v>20</v>
      </c>
      <c r="J736">
        <v>3</v>
      </c>
      <c r="K736" t="s">
        <v>44</v>
      </c>
      <c r="L736" t="s">
        <v>18</v>
      </c>
      <c r="M736" t="s">
        <v>36</v>
      </c>
      <c r="N736">
        <v>45</v>
      </c>
      <c r="O736" t="s">
        <v>17</v>
      </c>
    </row>
    <row r="737" spans="1:15" x14ac:dyDescent="0.25">
      <c r="A737">
        <v>736</v>
      </c>
      <c r="B737" t="s">
        <v>26</v>
      </c>
      <c r="C737" t="s">
        <v>14</v>
      </c>
      <c r="D737">
        <v>30000</v>
      </c>
      <c r="E737">
        <v>0</v>
      </c>
      <c r="F737" s="2" t="s">
        <v>46</v>
      </c>
      <c r="G737" t="s">
        <v>22</v>
      </c>
      <c r="H737" t="s">
        <v>16</v>
      </c>
      <c r="I737" t="s">
        <v>17</v>
      </c>
      <c r="J737">
        <v>1</v>
      </c>
      <c r="K737" t="s">
        <v>44</v>
      </c>
      <c r="L737" t="s">
        <v>27</v>
      </c>
      <c r="M737" t="s">
        <v>36</v>
      </c>
      <c r="N737">
        <v>26</v>
      </c>
      <c r="O737" t="s">
        <v>20</v>
      </c>
    </row>
    <row r="738" spans="1:15" x14ac:dyDescent="0.25">
      <c r="A738">
        <v>737</v>
      </c>
      <c r="B738" t="s">
        <v>13</v>
      </c>
      <c r="C738" t="s">
        <v>21</v>
      </c>
      <c r="D738">
        <v>40000</v>
      </c>
      <c r="E738">
        <v>0</v>
      </c>
      <c r="F738" s="2" t="s">
        <v>46</v>
      </c>
      <c r="G738" t="s">
        <v>31</v>
      </c>
      <c r="H738" t="s">
        <v>16</v>
      </c>
      <c r="I738" t="s">
        <v>17</v>
      </c>
      <c r="J738">
        <v>1</v>
      </c>
      <c r="K738" t="s">
        <v>44</v>
      </c>
      <c r="L738" t="s">
        <v>27</v>
      </c>
      <c r="M738" t="s">
        <v>36</v>
      </c>
      <c r="N738">
        <v>31</v>
      </c>
      <c r="O738" t="s">
        <v>20</v>
      </c>
    </row>
    <row r="739" spans="1:15" x14ac:dyDescent="0.25">
      <c r="A739">
        <v>738</v>
      </c>
      <c r="B739" t="s">
        <v>13</v>
      </c>
      <c r="C739" t="s">
        <v>21</v>
      </c>
      <c r="D739">
        <v>70000</v>
      </c>
      <c r="E739">
        <v>2</v>
      </c>
      <c r="F739" s="2" t="s">
        <v>45</v>
      </c>
      <c r="G739" t="s">
        <v>33</v>
      </c>
      <c r="H739" t="s">
        <v>16</v>
      </c>
      <c r="I739" t="s">
        <v>20</v>
      </c>
      <c r="J739">
        <v>2</v>
      </c>
      <c r="K739" t="s">
        <v>44</v>
      </c>
      <c r="L739" t="s">
        <v>30</v>
      </c>
      <c r="M739" t="s">
        <v>36</v>
      </c>
      <c r="N739">
        <v>49</v>
      </c>
      <c r="O739" t="s">
        <v>20</v>
      </c>
    </row>
    <row r="740" spans="1:15" x14ac:dyDescent="0.25">
      <c r="A740">
        <v>739</v>
      </c>
      <c r="B740" t="s">
        <v>26</v>
      </c>
      <c r="C740" t="s">
        <v>14</v>
      </c>
      <c r="D740">
        <v>40000</v>
      </c>
      <c r="E740">
        <v>2</v>
      </c>
      <c r="F740" s="2" t="s">
        <v>45</v>
      </c>
      <c r="G740" t="s">
        <v>22</v>
      </c>
      <c r="H740" t="s">
        <v>23</v>
      </c>
      <c r="I740" t="s">
        <v>20</v>
      </c>
      <c r="J740">
        <v>1</v>
      </c>
      <c r="K740" t="s">
        <v>44</v>
      </c>
      <c r="L740" t="s">
        <v>30</v>
      </c>
      <c r="M740" t="s">
        <v>36</v>
      </c>
      <c r="N740">
        <v>47</v>
      </c>
      <c r="O740" t="s">
        <v>17</v>
      </c>
    </row>
    <row r="741" spans="1:15" x14ac:dyDescent="0.25">
      <c r="A741">
        <v>740</v>
      </c>
      <c r="B741" t="s">
        <v>13</v>
      </c>
      <c r="C741" t="s">
        <v>14</v>
      </c>
      <c r="D741">
        <v>60000</v>
      </c>
      <c r="E741">
        <v>2</v>
      </c>
      <c r="F741" s="2" t="s">
        <v>45</v>
      </c>
      <c r="G741" t="s">
        <v>22</v>
      </c>
      <c r="H741" t="s">
        <v>24</v>
      </c>
      <c r="I741" t="s">
        <v>17</v>
      </c>
      <c r="J741">
        <v>1</v>
      </c>
      <c r="K741" t="s">
        <v>44</v>
      </c>
      <c r="L741" t="s">
        <v>34</v>
      </c>
      <c r="M741" t="s">
        <v>36</v>
      </c>
      <c r="N741">
        <v>55</v>
      </c>
      <c r="O741" t="s">
        <v>20</v>
      </c>
    </row>
    <row r="742" spans="1:15" x14ac:dyDescent="0.25">
      <c r="A742">
        <v>741</v>
      </c>
      <c r="B742" t="s">
        <v>13</v>
      </c>
      <c r="C742" t="s">
        <v>21</v>
      </c>
      <c r="D742">
        <v>40000</v>
      </c>
      <c r="E742">
        <v>4</v>
      </c>
      <c r="F742" s="2" t="s">
        <v>45</v>
      </c>
      <c r="G742" t="s">
        <v>22</v>
      </c>
      <c r="H742" t="s">
        <v>23</v>
      </c>
      <c r="I742" t="s">
        <v>20</v>
      </c>
      <c r="J742">
        <v>0</v>
      </c>
      <c r="K742" t="s">
        <v>43</v>
      </c>
      <c r="L742" t="s">
        <v>18</v>
      </c>
      <c r="M742" t="s">
        <v>36</v>
      </c>
      <c r="N742">
        <v>30</v>
      </c>
      <c r="O742" t="s">
        <v>20</v>
      </c>
    </row>
    <row r="743" spans="1:15" x14ac:dyDescent="0.25">
      <c r="A743">
        <v>742</v>
      </c>
      <c r="B743" t="s">
        <v>13</v>
      </c>
      <c r="C743" t="s">
        <v>14</v>
      </c>
      <c r="D743">
        <v>40000</v>
      </c>
      <c r="E743">
        <v>1</v>
      </c>
      <c r="F743" s="2" t="s">
        <v>45</v>
      </c>
      <c r="G743" t="s">
        <v>22</v>
      </c>
      <c r="H743" t="s">
        <v>23</v>
      </c>
      <c r="I743" t="s">
        <v>17</v>
      </c>
      <c r="J743">
        <v>1</v>
      </c>
      <c r="K743" t="s">
        <v>44</v>
      </c>
      <c r="L743" t="s">
        <v>30</v>
      </c>
      <c r="M743" t="s">
        <v>36</v>
      </c>
      <c r="N743">
        <v>48</v>
      </c>
      <c r="O743" t="s">
        <v>17</v>
      </c>
    </row>
    <row r="744" spans="1:15" x14ac:dyDescent="0.25">
      <c r="A744">
        <v>743</v>
      </c>
      <c r="B744" t="s">
        <v>26</v>
      </c>
      <c r="C744" t="s">
        <v>21</v>
      </c>
      <c r="D744">
        <v>30000</v>
      </c>
      <c r="E744">
        <v>0</v>
      </c>
      <c r="F744" s="2" t="s">
        <v>46</v>
      </c>
      <c r="G744" t="s">
        <v>31</v>
      </c>
      <c r="H744" t="s">
        <v>16</v>
      </c>
      <c r="I744" t="s">
        <v>17</v>
      </c>
      <c r="J744">
        <v>2</v>
      </c>
      <c r="K744" t="s">
        <v>44</v>
      </c>
      <c r="L744" t="s">
        <v>27</v>
      </c>
      <c r="M744" t="s">
        <v>36</v>
      </c>
      <c r="N744">
        <v>30</v>
      </c>
      <c r="O744" t="s">
        <v>20</v>
      </c>
    </row>
    <row r="745" spans="1:15" x14ac:dyDescent="0.25">
      <c r="A745">
        <v>744</v>
      </c>
      <c r="B745" t="s">
        <v>13</v>
      </c>
      <c r="C745" t="s">
        <v>21</v>
      </c>
      <c r="D745">
        <v>110000</v>
      </c>
      <c r="E745">
        <v>1</v>
      </c>
      <c r="F745" s="2" t="s">
        <v>45</v>
      </c>
      <c r="G745" t="s">
        <v>15</v>
      </c>
      <c r="H745" t="s">
        <v>32</v>
      </c>
      <c r="I745" t="s">
        <v>17</v>
      </c>
      <c r="J745">
        <v>3</v>
      </c>
      <c r="K745" t="s">
        <v>44</v>
      </c>
      <c r="L745" t="s">
        <v>27</v>
      </c>
      <c r="M745" t="s">
        <v>36</v>
      </c>
      <c r="N745">
        <v>45</v>
      </c>
      <c r="O745" t="s">
        <v>20</v>
      </c>
    </row>
    <row r="746" spans="1:15" x14ac:dyDescent="0.25">
      <c r="A746">
        <v>745</v>
      </c>
      <c r="B746" t="s">
        <v>13</v>
      </c>
      <c r="C746" t="s">
        <v>14</v>
      </c>
      <c r="D746">
        <v>70000</v>
      </c>
      <c r="E746">
        <v>4</v>
      </c>
      <c r="F746" s="2" t="s">
        <v>45</v>
      </c>
      <c r="G746" t="s">
        <v>22</v>
      </c>
      <c r="H746" t="s">
        <v>24</v>
      </c>
      <c r="I746" t="s">
        <v>17</v>
      </c>
      <c r="J746">
        <v>1</v>
      </c>
      <c r="K746" t="s">
        <v>44</v>
      </c>
      <c r="L746" t="s">
        <v>34</v>
      </c>
      <c r="M746" t="s">
        <v>36</v>
      </c>
      <c r="N746">
        <v>56</v>
      </c>
      <c r="O746" t="s">
        <v>20</v>
      </c>
    </row>
    <row r="747" spans="1:15" x14ac:dyDescent="0.25">
      <c r="A747">
        <v>746</v>
      </c>
      <c r="B747" t="s">
        <v>13</v>
      </c>
      <c r="C747" t="s">
        <v>21</v>
      </c>
      <c r="D747">
        <v>60000</v>
      </c>
      <c r="E747">
        <v>4</v>
      </c>
      <c r="F747" s="2" t="s">
        <v>45</v>
      </c>
      <c r="G747" t="s">
        <v>35</v>
      </c>
      <c r="H747" t="s">
        <v>16</v>
      </c>
      <c r="I747" t="s">
        <v>17</v>
      </c>
      <c r="J747">
        <v>0</v>
      </c>
      <c r="K747" t="s">
        <v>43</v>
      </c>
      <c r="L747" t="s">
        <v>30</v>
      </c>
      <c r="M747" t="s">
        <v>36</v>
      </c>
      <c r="N747">
        <v>47</v>
      </c>
      <c r="O747" t="s">
        <v>17</v>
      </c>
    </row>
    <row r="748" spans="1:15" x14ac:dyDescent="0.25">
      <c r="A748">
        <v>747</v>
      </c>
      <c r="B748" t="s">
        <v>13</v>
      </c>
      <c r="C748" t="s">
        <v>14</v>
      </c>
      <c r="D748">
        <v>60000</v>
      </c>
      <c r="E748">
        <v>2</v>
      </c>
      <c r="F748" s="2" t="s">
        <v>45</v>
      </c>
      <c r="G748" t="s">
        <v>15</v>
      </c>
      <c r="H748" t="s">
        <v>32</v>
      </c>
      <c r="I748" t="s">
        <v>17</v>
      </c>
      <c r="J748">
        <v>0</v>
      </c>
      <c r="K748" t="s">
        <v>43</v>
      </c>
      <c r="L748" t="s">
        <v>34</v>
      </c>
      <c r="M748" t="s">
        <v>36</v>
      </c>
      <c r="N748">
        <v>56</v>
      </c>
      <c r="O748" t="s">
        <v>20</v>
      </c>
    </row>
    <row r="749" spans="1:15" x14ac:dyDescent="0.25">
      <c r="A749">
        <v>748</v>
      </c>
      <c r="B749" t="s">
        <v>26</v>
      </c>
      <c r="C749" t="s">
        <v>14</v>
      </c>
      <c r="D749">
        <v>70000</v>
      </c>
      <c r="E749">
        <v>1</v>
      </c>
      <c r="F749" s="2" t="s">
        <v>45</v>
      </c>
      <c r="G749" t="s">
        <v>15</v>
      </c>
      <c r="H749" t="s">
        <v>24</v>
      </c>
      <c r="I749" t="s">
        <v>20</v>
      </c>
      <c r="J749">
        <v>1</v>
      </c>
      <c r="K749" t="s">
        <v>44</v>
      </c>
      <c r="L749" t="s">
        <v>18</v>
      </c>
      <c r="M749" t="s">
        <v>36</v>
      </c>
      <c r="N749">
        <v>44</v>
      </c>
      <c r="O749" t="s">
        <v>20</v>
      </c>
    </row>
    <row r="750" spans="1:15" x14ac:dyDescent="0.25">
      <c r="A750">
        <v>749</v>
      </c>
      <c r="B750" t="s">
        <v>13</v>
      </c>
      <c r="C750" t="s">
        <v>21</v>
      </c>
      <c r="D750">
        <v>130000</v>
      </c>
      <c r="E750">
        <v>2</v>
      </c>
      <c r="F750" s="2" t="s">
        <v>45</v>
      </c>
      <c r="G750" t="s">
        <v>35</v>
      </c>
      <c r="H750" t="s">
        <v>32</v>
      </c>
      <c r="I750" t="s">
        <v>17</v>
      </c>
      <c r="J750">
        <v>3</v>
      </c>
      <c r="K750" t="s">
        <v>44</v>
      </c>
      <c r="L750" t="s">
        <v>25</v>
      </c>
      <c r="M750" t="s">
        <v>36</v>
      </c>
      <c r="N750">
        <v>69</v>
      </c>
      <c r="O750" t="s">
        <v>20</v>
      </c>
    </row>
    <row r="751" spans="1:15" x14ac:dyDescent="0.25">
      <c r="A751">
        <v>750</v>
      </c>
      <c r="B751" t="s">
        <v>13</v>
      </c>
      <c r="C751" t="s">
        <v>14</v>
      </c>
      <c r="D751">
        <v>70000</v>
      </c>
      <c r="E751">
        <v>2</v>
      </c>
      <c r="F751" s="2" t="s">
        <v>45</v>
      </c>
      <c r="G751" t="s">
        <v>22</v>
      </c>
      <c r="H751" t="s">
        <v>24</v>
      </c>
      <c r="I751" t="s">
        <v>17</v>
      </c>
      <c r="J751">
        <v>1</v>
      </c>
      <c r="K751" t="s">
        <v>44</v>
      </c>
      <c r="L751" t="s">
        <v>25</v>
      </c>
      <c r="M751" t="s">
        <v>36</v>
      </c>
      <c r="N751">
        <v>59</v>
      </c>
      <c r="O751" t="s">
        <v>20</v>
      </c>
    </row>
    <row r="752" spans="1:15" x14ac:dyDescent="0.25">
      <c r="A752">
        <v>751</v>
      </c>
      <c r="B752" t="s">
        <v>13</v>
      </c>
      <c r="C752" t="s">
        <v>21</v>
      </c>
      <c r="D752">
        <v>30000</v>
      </c>
      <c r="E752">
        <v>2</v>
      </c>
      <c r="F752" s="2" t="s">
        <v>45</v>
      </c>
      <c r="G752" t="s">
        <v>31</v>
      </c>
      <c r="H752" t="s">
        <v>16</v>
      </c>
      <c r="I752" t="s">
        <v>17</v>
      </c>
      <c r="J752">
        <v>2</v>
      </c>
      <c r="K752" t="s">
        <v>44</v>
      </c>
      <c r="L752" t="s">
        <v>30</v>
      </c>
      <c r="M752" t="s">
        <v>36</v>
      </c>
      <c r="N752">
        <v>50</v>
      </c>
      <c r="O752" t="s">
        <v>20</v>
      </c>
    </row>
    <row r="753" spans="1:15" x14ac:dyDescent="0.25">
      <c r="A753">
        <v>752</v>
      </c>
      <c r="B753" t="s">
        <v>13</v>
      </c>
      <c r="C753" t="s">
        <v>21</v>
      </c>
      <c r="D753">
        <v>60000</v>
      </c>
      <c r="E753">
        <v>1</v>
      </c>
      <c r="F753" s="2" t="s">
        <v>45</v>
      </c>
      <c r="G753" t="s">
        <v>35</v>
      </c>
      <c r="H753" t="s">
        <v>24</v>
      </c>
      <c r="I753" t="s">
        <v>17</v>
      </c>
      <c r="J753">
        <v>0</v>
      </c>
      <c r="K753" t="s">
        <v>43</v>
      </c>
      <c r="L753" t="s">
        <v>25</v>
      </c>
      <c r="M753" t="s">
        <v>36</v>
      </c>
      <c r="N753">
        <v>36</v>
      </c>
      <c r="O753" t="s">
        <v>20</v>
      </c>
    </row>
    <row r="754" spans="1:15" x14ac:dyDescent="0.25">
      <c r="A754">
        <v>753</v>
      </c>
      <c r="B754" t="s">
        <v>13</v>
      </c>
      <c r="C754" t="s">
        <v>21</v>
      </c>
      <c r="D754">
        <v>60000</v>
      </c>
      <c r="E754">
        <v>0</v>
      </c>
      <c r="F754" s="2" t="s">
        <v>46</v>
      </c>
      <c r="G754" t="s">
        <v>22</v>
      </c>
      <c r="H754" t="s">
        <v>24</v>
      </c>
      <c r="I754" t="s">
        <v>17</v>
      </c>
      <c r="J754">
        <v>2</v>
      </c>
      <c r="K754" t="s">
        <v>44</v>
      </c>
      <c r="L754" t="s">
        <v>27</v>
      </c>
      <c r="M754" t="s">
        <v>36</v>
      </c>
      <c r="N754">
        <v>32</v>
      </c>
      <c r="O754" t="s">
        <v>20</v>
      </c>
    </row>
    <row r="755" spans="1:15" x14ac:dyDescent="0.25">
      <c r="A755">
        <v>754</v>
      </c>
      <c r="B755" t="s">
        <v>26</v>
      </c>
      <c r="C755" t="s">
        <v>14</v>
      </c>
      <c r="D755">
        <v>40000</v>
      </c>
      <c r="E755">
        <v>0</v>
      </c>
      <c r="F755" s="2" t="s">
        <v>46</v>
      </c>
      <c r="G755" t="s">
        <v>22</v>
      </c>
      <c r="H755" t="s">
        <v>16</v>
      </c>
      <c r="I755" t="s">
        <v>20</v>
      </c>
      <c r="J755">
        <v>1</v>
      </c>
      <c r="K755" t="s">
        <v>44</v>
      </c>
      <c r="L755" t="s">
        <v>30</v>
      </c>
      <c r="M755" t="s">
        <v>36</v>
      </c>
      <c r="N755">
        <v>27</v>
      </c>
      <c r="O755" t="s">
        <v>20</v>
      </c>
    </row>
    <row r="756" spans="1:15" x14ac:dyDescent="0.25">
      <c r="A756">
        <v>755</v>
      </c>
      <c r="B756" t="s">
        <v>13</v>
      </c>
      <c r="C756" t="s">
        <v>14</v>
      </c>
      <c r="D756">
        <v>40000</v>
      </c>
      <c r="E756">
        <v>4</v>
      </c>
      <c r="F756" s="2" t="s">
        <v>45</v>
      </c>
      <c r="G756" t="s">
        <v>31</v>
      </c>
      <c r="H756" t="s">
        <v>24</v>
      </c>
      <c r="I756" t="s">
        <v>17</v>
      </c>
      <c r="J756">
        <v>2</v>
      </c>
      <c r="K756" t="s">
        <v>44</v>
      </c>
      <c r="L756" t="s">
        <v>27</v>
      </c>
      <c r="M756" t="s">
        <v>36</v>
      </c>
      <c r="N756">
        <v>59</v>
      </c>
      <c r="O756" t="s">
        <v>17</v>
      </c>
    </row>
    <row r="757" spans="1:15" x14ac:dyDescent="0.25">
      <c r="A757">
        <v>756</v>
      </c>
      <c r="B757" t="s">
        <v>13</v>
      </c>
      <c r="C757" t="s">
        <v>21</v>
      </c>
      <c r="D757">
        <v>60000</v>
      </c>
      <c r="E757">
        <v>3</v>
      </c>
      <c r="F757" s="2" t="s">
        <v>45</v>
      </c>
      <c r="G757" t="s">
        <v>31</v>
      </c>
      <c r="H757" t="s">
        <v>24</v>
      </c>
      <c r="I757" t="s">
        <v>20</v>
      </c>
      <c r="J757">
        <v>2</v>
      </c>
      <c r="K757" t="s">
        <v>44</v>
      </c>
      <c r="L757" t="s">
        <v>25</v>
      </c>
      <c r="M757" t="s">
        <v>36</v>
      </c>
      <c r="N757">
        <v>53</v>
      </c>
      <c r="O757" t="s">
        <v>20</v>
      </c>
    </row>
    <row r="758" spans="1:15" x14ac:dyDescent="0.25">
      <c r="A758">
        <v>757</v>
      </c>
      <c r="B758" t="s">
        <v>13</v>
      </c>
      <c r="C758" t="s">
        <v>21</v>
      </c>
      <c r="D758">
        <v>40000</v>
      </c>
      <c r="E758">
        <v>1</v>
      </c>
      <c r="F758" s="2" t="s">
        <v>45</v>
      </c>
      <c r="G758" t="s">
        <v>15</v>
      </c>
      <c r="H758" t="s">
        <v>16</v>
      </c>
      <c r="I758" t="s">
        <v>20</v>
      </c>
      <c r="J758">
        <v>1</v>
      </c>
      <c r="K758" t="s">
        <v>44</v>
      </c>
      <c r="L758" t="s">
        <v>18</v>
      </c>
      <c r="M758" t="s">
        <v>36</v>
      </c>
      <c r="N758">
        <v>36</v>
      </c>
      <c r="O758" t="s">
        <v>17</v>
      </c>
    </row>
    <row r="759" spans="1:15" x14ac:dyDescent="0.25">
      <c r="A759">
        <v>758</v>
      </c>
      <c r="B759" t="s">
        <v>26</v>
      </c>
      <c r="C759" t="s">
        <v>21</v>
      </c>
      <c r="D759">
        <v>30000</v>
      </c>
      <c r="E759">
        <v>1</v>
      </c>
      <c r="F759" s="2" t="s">
        <v>45</v>
      </c>
      <c r="G759" t="s">
        <v>31</v>
      </c>
      <c r="H759" t="s">
        <v>23</v>
      </c>
      <c r="I759" t="s">
        <v>17</v>
      </c>
      <c r="J759">
        <v>2</v>
      </c>
      <c r="K759" t="s">
        <v>44</v>
      </c>
      <c r="L759" t="s">
        <v>30</v>
      </c>
      <c r="M759" t="s">
        <v>36</v>
      </c>
      <c r="N759">
        <v>51</v>
      </c>
      <c r="O759" t="s">
        <v>17</v>
      </c>
    </row>
    <row r="760" spans="1:15" x14ac:dyDescent="0.25">
      <c r="A760">
        <v>759</v>
      </c>
      <c r="B760" t="s">
        <v>26</v>
      </c>
      <c r="C760" t="s">
        <v>14</v>
      </c>
      <c r="D760">
        <v>80000</v>
      </c>
      <c r="E760">
        <v>5</v>
      </c>
      <c r="F760" s="2" t="s">
        <v>45</v>
      </c>
      <c r="G760" t="s">
        <v>35</v>
      </c>
      <c r="H760" t="s">
        <v>16</v>
      </c>
      <c r="I760" t="s">
        <v>20</v>
      </c>
      <c r="J760">
        <v>0</v>
      </c>
      <c r="K760" t="s">
        <v>43</v>
      </c>
      <c r="L760" t="s">
        <v>18</v>
      </c>
      <c r="M760" t="s">
        <v>36</v>
      </c>
      <c r="N760">
        <v>47</v>
      </c>
      <c r="O760" t="s">
        <v>20</v>
      </c>
    </row>
    <row r="761" spans="1:15" x14ac:dyDescent="0.25">
      <c r="A761">
        <v>760</v>
      </c>
      <c r="B761" t="s">
        <v>26</v>
      </c>
      <c r="C761" t="s">
        <v>14</v>
      </c>
      <c r="D761">
        <v>60000</v>
      </c>
      <c r="E761">
        <v>3</v>
      </c>
      <c r="F761" s="2" t="s">
        <v>45</v>
      </c>
      <c r="G761" t="s">
        <v>35</v>
      </c>
      <c r="H761" t="s">
        <v>24</v>
      </c>
      <c r="I761" t="s">
        <v>17</v>
      </c>
      <c r="J761">
        <v>0</v>
      </c>
      <c r="K761" t="s">
        <v>43</v>
      </c>
      <c r="L761" t="s">
        <v>25</v>
      </c>
      <c r="M761" t="s">
        <v>36</v>
      </c>
      <c r="N761">
        <v>43</v>
      </c>
      <c r="O761" t="s">
        <v>17</v>
      </c>
    </row>
    <row r="762" spans="1:15" x14ac:dyDescent="0.25">
      <c r="A762">
        <v>761</v>
      </c>
      <c r="B762" t="s">
        <v>26</v>
      </c>
      <c r="C762" t="s">
        <v>21</v>
      </c>
      <c r="D762">
        <v>20000</v>
      </c>
      <c r="E762">
        <v>3</v>
      </c>
      <c r="F762" s="2" t="s">
        <v>45</v>
      </c>
      <c r="G762" t="s">
        <v>33</v>
      </c>
      <c r="H762" t="s">
        <v>23</v>
      </c>
      <c r="I762" t="s">
        <v>20</v>
      </c>
      <c r="J762">
        <v>2</v>
      </c>
      <c r="K762" t="s">
        <v>44</v>
      </c>
      <c r="L762" t="s">
        <v>18</v>
      </c>
      <c r="M762" t="s">
        <v>36</v>
      </c>
      <c r="N762">
        <v>50</v>
      </c>
      <c r="O762" t="s">
        <v>20</v>
      </c>
    </row>
    <row r="763" spans="1:15" x14ac:dyDescent="0.25">
      <c r="A763">
        <v>762</v>
      </c>
      <c r="B763" t="s">
        <v>13</v>
      </c>
      <c r="C763" t="s">
        <v>14</v>
      </c>
      <c r="D763">
        <v>60000</v>
      </c>
      <c r="E763">
        <v>5</v>
      </c>
      <c r="F763" s="2" t="s">
        <v>45</v>
      </c>
      <c r="G763" t="s">
        <v>15</v>
      </c>
      <c r="H763" t="s">
        <v>32</v>
      </c>
      <c r="I763" t="s">
        <v>17</v>
      </c>
      <c r="J763">
        <v>3</v>
      </c>
      <c r="K763" t="s">
        <v>44</v>
      </c>
      <c r="L763" t="s">
        <v>34</v>
      </c>
      <c r="M763" t="s">
        <v>36</v>
      </c>
      <c r="N763">
        <v>59</v>
      </c>
      <c r="O763" t="s">
        <v>20</v>
      </c>
    </row>
    <row r="764" spans="1:15" x14ac:dyDescent="0.25">
      <c r="A764">
        <v>763</v>
      </c>
      <c r="B764" t="s">
        <v>26</v>
      </c>
      <c r="C764" t="s">
        <v>21</v>
      </c>
      <c r="D764">
        <v>50000</v>
      </c>
      <c r="E764">
        <v>2</v>
      </c>
      <c r="F764" s="2" t="s">
        <v>45</v>
      </c>
      <c r="G764" t="s">
        <v>15</v>
      </c>
      <c r="H764" t="s">
        <v>16</v>
      </c>
      <c r="I764" t="s">
        <v>17</v>
      </c>
      <c r="J764">
        <v>0</v>
      </c>
      <c r="K764" t="s">
        <v>43</v>
      </c>
      <c r="L764" t="s">
        <v>25</v>
      </c>
      <c r="M764" t="s">
        <v>36</v>
      </c>
      <c r="N764">
        <v>37</v>
      </c>
      <c r="O764" t="s">
        <v>17</v>
      </c>
    </row>
    <row r="765" spans="1:15" x14ac:dyDescent="0.25">
      <c r="A765">
        <v>764</v>
      </c>
      <c r="B765" t="s">
        <v>13</v>
      </c>
      <c r="C765" t="s">
        <v>21</v>
      </c>
      <c r="D765">
        <v>50000</v>
      </c>
      <c r="E765">
        <v>1</v>
      </c>
      <c r="F765" s="2" t="s">
        <v>45</v>
      </c>
      <c r="G765" t="s">
        <v>35</v>
      </c>
      <c r="H765" t="s">
        <v>16</v>
      </c>
      <c r="I765" t="s">
        <v>17</v>
      </c>
      <c r="J765">
        <v>0</v>
      </c>
      <c r="K765" t="s">
        <v>43</v>
      </c>
      <c r="L765" t="s">
        <v>18</v>
      </c>
      <c r="M765" t="s">
        <v>36</v>
      </c>
      <c r="N765">
        <v>33</v>
      </c>
      <c r="O765" t="s">
        <v>17</v>
      </c>
    </row>
    <row r="766" spans="1:15" x14ac:dyDescent="0.25">
      <c r="A766">
        <v>765</v>
      </c>
      <c r="B766" t="s">
        <v>13</v>
      </c>
      <c r="C766" t="s">
        <v>14</v>
      </c>
      <c r="D766">
        <v>60000</v>
      </c>
      <c r="E766">
        <v>0</v>
      </c>
      <c r="F766" s="2" t="s">
        <v>46</v>
      </c>
      <c r="G766" t="s">
        <v>22</v>
      </c>
      <c r="H766" t="s">
        <v>16</v>
      </c>
      <c r="I766" t="s">
        <v>20</v>
      </c>
      <c r="J766">
        <v>1</v>
      </c>
      <c r="K766" t="s">
        <v>44</v>
      </c>
      <c r="L766" t="s">
        <v>30</v>
      </c>
      <c r="M766" t="s">
        <v>36</v>
      </c>
      <c r="N766">
        <v>27</v>
      </c>
      <c r="O766" t="s">
        <v>20</v>
      </c>
    </row>
    <row r="767" spans="1:15" x14ac:dyDescent="0.25">
      <c r="A767">
        <v>766</v>
      </c>
      <c r="B767" t="s">
        <v>26</v>
      </c>
      <c r="C767" t="s">
        <v>14</v>
      </c>
      <c r="D767">
        <v>70000</v>
      </c>
      <c r="E767">
        <v>0</v>
      </c>
      <c r="F767" s="2" t="s">
        <v>46</v>
      </c>
      <c r="G767" t="s">
        <v>22</v>
      </c>
      <c r="H767" t="s">
        <v>16</v>
      </c>
      <c r="I767" t="s">
        <v>17</v>
      </c>
      <c r="J767">
        <v>2</v>
      </c>
      <c r="K767" t="s">
        <v>44</v>
      </c>
      <c r="L767" t="s">
        <v>27</v>
      </c>
      <c r="M767" t="s">
        <v>36</v>
      </c>
      <c r="N767">
        <v>34</v>
      </c>
      <c r="O767" t="s">
        <v>17</v>
      </c>
    </row>
    <row r="768" spans="1:15" x14ac:dyDescent="0.25">
      <c r="A768">
        <v>767</v>
      </c>
      <c r="B768" t="s">
        <v>13</v>
      </c>
      <c r="C768" t="s">
        <v>21</v>
      </c>
      <c r="D768">
        <v>50000</v>
      </c>
      <c r="E768">
        <v>4</v>
      </c>
      <c r="F768" s="2" t="s">
        <v>45</v>
      </c>
      <c r="G768" t="s">
        <v>15</v>
      </c>
      <c r="H768" t="s">
        <v>16</v>
      </c>
      <c r="I768" t="s">
        <v>17</v>
      </c>
      <c r="J768">
        <v>3</v>
      </c>
      <c r="K768" t="s">
        <v>44</v>
      </c>
      <c r="L768" t="s">
        <v>34</v>
      </c>
      <c r="M768" t="s">
        <v>36</v>
      </c>
      <c r="N768">
        <v>42</v>
      </c>
      <c r="O768" t="s">
        <v>20</v>
      </c>
    </row>
    <row r="769" spans="1:15" x14ac:dyDescent="0.25">
      <c r="A769">
        <v>768</v>
      </c>
      <c r="B769" t="s">
        <v>13</v>
      </c>
      <c r="C769" t="s">
        <v>14</v>
      </c>
      <c r="D769">
        <v>60000</v>
      </c>
      <c r="E769">
        <v>2</v>
      </c>
      <c r="F769" s="2" t="s">
        <v>45</v>
      </c>
      <c r="G769" t="s">
        <v>22</v>
      </c>
      <c r="H769" t="s">
        <v>24</v>
      </c>
      <c r="I769" t="s">
        <v>17</v>
      </c>
      <c r="J769">
        <v>2</v>
      </c>
      <c r="K769" t="s">
        <v>44</v>
      </c>
      <c r="L769" t="s">
        <v>25</v>
      </c>
      <c r="M769" t="s">
        <v>36</v>
      </c>
      <c r="N769">
        <v>57</v>
      </c>
      <c r="O769" t="s">
        <v>17</v>
      </c>
    </row>
    <row r="770" spans="1:15" x14ac:dyDescent="0.25">
      <c r="A770">
        <v>769</v>
      </c>
      <c r="B770" t="s">
        <v>13</v>
      </c>
      <c r="C770" t="s">
        <v>14</v>
      </c>
      <c r="D770">
        <v>120000</v>
      </c>
      <c r="E770">
        <v>1</v>
      </c>
      <c r="F770" s="2" t="s">
        <v>45</v>
      </c>
      <c r="G770" t="s">
        <v>31</v>
      </c>
      <c r="H770" t="s">
        <v>24</v>
      </c>
      <c r="I770" t="s">
        <v>20</v>
      </c>
      <c r="J770">
        <v>4</v>
      </c>
      <c r="K770" t="s">
        <v>44</v>
      </c>
      <c r="L770" t="s">
        <v>25</v>
      </c>
      <c r="M770" t="s">
        <v>36</v>
      </c>
      <c r="N770">
        <v>45</v>
      </c>
      <c r="O770" t="s">
        <v>20</v>
      </c>
    </row>
    <row r="771" spans="1:15" x14ac:dyDescent="0.25">
      <c r="A771">
        <v>770</v>
      </c>
      <c r="B771" t="s">
        <v>13</v>
      </c>
      <c r="C771" t="s">
        <v>14</v>
      </c>
      <c r="D771">
        <v>100000</v>
      </c>
      <c r="E771">
        <v>4</v>
      </c>
      <c r="F771" s="2" t="s">
        <v>45</v>
      </c>
      <c r="G771" t="s">
        <v>15</v>
      </c>
      <c r="H771" t="s">
        <v>32</v>
      </c>
      <c r="I771" t="s">
        <v>17</v>
      </c>
      <c r="J771">
        <v>4</v>
      </c>
      <c r="K771" t="s">
        <v>44</v>
      </c>
      <c r="L771" t="s">
        <v>18</v>
      </c>
      <c r="M771" t="s">
        <v>36</v>
      </c>
      <c r="N771">
        <v>40</v>
      </c>
      <c r="O771" t="s">
        <v>20</v>
      </c>
    </row>
    <row r="772" spans="1:15" x14ac:dyDescent="0.25">
      <c r="A772">
        <v>771</v>
      </c>
      <c r="B772" t="s">
        <v>13</v>
      </c>
      <c r="C772" t="s">
        <v>21</v>
      </c>
      <c r="D772">
        <v>60000</v>
      </c>
      <c r="E772">
        <v>1</v>
      </c>
      <c r="F772" s="2" t="s">
        <v>45</v>
      </c>
      <c r="G772" t="s">
        <v>35</v>
      </c>
      <c r="H772" t="s">
        <v>16</v>
      </c>
      <c r="I772" t="s">
        <v>20</v>
      </c>
      <c r="J772">
        <v>0</v>
      </c>
      <c r="K772" t="s">
        <v>43</v>
      </c>
      <c r="L772" t="s">
        <v>18</v>
      </c>
      <c r="M772" t="s">
        <v>36</v>
      </c>
      <c r="N772">
        <v>55</v>
      </c>
      <c r="O772" t="s">
        <v>20</v>
      </c>
    </row>
    <row r="773" spans="1:15" x14ac:dyDescent="0.25">
      <c r="A773">
        <v>772</v>
      </c>
      <c r="B773" t="s">
        <v>13</v>
      </c>
      <c r="C773" t="s">
        <v>21</v>
      </c>
      <c r="D773">
        <v>80000</v>
      </c>
      <c r="E773">
        <v>1</v>
      </c>
      <c r="F773" s="2" t="s">
        <v>45</v>
      </c>
      <c r="G773" t="s">
        <v>22</v>
      </c>
      <c r="H773" t="s">
        <v>16</v>
      </c>
      <c r="I773" t="s">
        <v>20</v>
      </c>
      <c r="J773">
        <v>1</v>
      </c>
      <c r="K773" t="s">
        <v>44</v>
      </c>
      <c r="L773" t="s">
        <v>18</v>
      </c>
      <c r="M773" t="s">
        <v>36</v>
      </c>
      <c r="N773">
        <v>47</v>
      </c>
      <c r="O773" t="s">
        <v>17</v>
      </c>
    </row>
    <row r="774" spans="1:15" x14ac:dyDescent="0.25">
      <c r="A774">
        <v>773</v>
      </c>
      <c r="B774" t="s">
        <v>26</v>
      </c>
      <c r="C774" t="s">
        <v>21</v>
      </c>
      <c r="D774">
        <v>60000</v>
      </c>
      <c r="E774">
        <v>4</v>
      </c>
      <c r="F774" s="2" t="s">
        <v>45</v>
      </c>
      <c r="G774" t="s">
        <v>35</v>
      </c>
      <c r="H774" t="s">
        <v>16</v>
      </c>
      <c r="I774" t="s">
        <v>17</v>
      </c>
      <c r="J774">
        <v>0</v>
      </c>
      <c r="K774" t="s">
        <v>43</v>
      </c>
      <c r="L774" t="s">
        <v>30</v>
      </c>
      <c r="M774" t="s">
        <v>36</v>
      </c>
      <c r="N774">
        <v>47</v>
      </c>
      <c r="O774" t="s">
        <v>17</v>
      </c>
    </row>
    <row r="775" spans="1:15" x14ac:dyDescent="0.25">
      <c r="A775">
        <v>774</v>
      </c>
      <c r="B775" t="s">
        <v>13</v>
      </c>
      <c r="C775" t="s">
        <v>14</v>
      </c>
      <c r="D775">
        <v>60000</v>
      </c>
      <c r="E775">
        <v>1</v>
      </c>
      <c r="F775" s="2" t="s">
        <v>45</v>
      </c>
      <c r="G775" t="s">
        <v>35</v>
      </c>
      <c r="H775" t="s">
        <v>16</v>
      </c>
      <c r="I775" t="s">
        <v>17</v>
      </c>
      <c r="J775">
        <v>0</v>
      </c>
      <c r="K775" t="s">
        <v>43</v>
      </c>
      <c r="L775" t="s">
        <v>18</v>
      </c>
      <c r="M775" t="s">
        <v>36</v>
      </c>
      <c r="N775">
        <v>34</v>
      </c>
      <c r="O775" t="s">
        <v>20</v>
      </c>
    </row>
    <row r="776" spans="1:15" x14ac:dyDescent="0.25">
      <c r="A776">
        <v>775</v>
      </c>
      <c r="B776" t="s">
        <v>13</v>
      </c>
      <c r="C776" t="s">
        <v>14</v>
      </c>
      <c r="D776">
        <v>80000</v>
      </c>
      <c r="E776">
        <v>3</v>
      </c>
      <c r="F776" s="2" t="s">
        <v>45</v>
      </c>
      <c r="G776" t="s">
        <v>35</v>
      </c>
      <c r="H776" t="s">
        <v>24</v>
      </c>
      <c r="I776" t="s">
        <v>17</v>
      </c>
      <c r="J776">
        <v>0</v>
      </c>
      <c r="K776" t="s">
        <v>43</v>
      </c>
      <c r="L776" t="s">
        <v>18</v>
      </c>
      <c r="M776" t="s">
        <v>36</v>
      </c>
      <c r="N776">
        <v>36</v>
      </c>
      <c r="O776" t="s">
        <v>17</v>
      </c>
    </row>
    <row r="777" spans="1:15" x14ac:dyDescent="0.25">
      <c r="A777">
        <v>776</v>
      </c>
      <c r="B777" t="s">
        <v>13</v>
      </c>
      <c r="C777" t="s">
        <v>21</v>
      </c>
      <c r="D777">
        <v>70000</v>
      </c>
      <c r="E777">
        <v>2</v>
      </c>
      <c r="F777" s="2" t="s">
        <v>45</v>
      </c>
      <c r="G777" t="s">
        <v>33</v>
      </c>
      <c r="H777" t="s">
        <v>16</v>
      </c>
      <c r="I777" t="s">
        <v>17</v>
      </c>
      <c r="J777">
        <v>2</v>
      </c>
      <c r="K777" t="s">
        <v>44</v>
      </c>
      <c r="L777" t="s">
        <v>34</v>
      </c>
      <c r="M777" t="s">
        <v>36</v>
      </c>
      <c r="N777">
        <v>54</v>
      </c>
      <c r="O777" t="s">
        <v>20</v>
      </c>
    </row>
    <row r="778" spans="1:15" x14ac:dyDescent="0.25">
      <c r="A778">
        <v>777</v>
      </c>
      <c r="B778" t="s">
        <v>26</v>
      </c>
      <c r="C778" t="s">
        <v>21</v>
      </c>
      <c r="D778">
        <v>70000</v>
      </c>
      <c r="E778">
        <v>2</v>
      </c>
      <c r="F778" s="2" t="s">
        <v>45</v>
      </c>
      <c r="G778" t="s">
        <v>15</v>
      </c>
      <c r="H778" t="s">
        <v>32</v>
      </c>
      <c r="I778" t="s">
        <v>20</v>
      </c>
      <c r="J778">
        <v>1</v>
      </c>
      <c r="K778" t="s">
        <v>44</v>
      </c>
      <c r="L778" t="s">
        <v>25</v>
      </c>
      <c r="M778" t="s">
        <v>36</v>
      </c>
      <c r="N778">
        <v>59</v>
      </c>
      <c r="O778" t="s">
        <v>17</v>
      </c>
    </row>
    <row r="779" spans="1:15" x14ac:dyDescent="0.25">
      <c r="A779">
        <v>778</v>
      </c>
      <c r="B779" t="s">
        <v>26</v>
      </c>
      <c r="C779" t="s">
        <v>21</v>
      </c>
      <c r="D779">
        <v>40000</v>
      </c>
      <c r="E779">
        <v>0</v>
      </c>
      <c r="F779" s="2" t="s">
        <v>46</v>
      </c>
      <c r="G779" t="s">
        <v>31</v>
      </c>
      <c r="H779" t="s">
        <v>16</v>
      </c>
      <c r="I779" t="s">
        <v>17</v>
      </c>
      <c r="J779">
        <v>2</v>
      </c>
      <c r="K779" t="s">
        <v>44</v>
      </c>
      <c r="L779" t="s">
        <v>27</v>
      </c>
      <c r="M779" t="s">
        <v>36</v>
      </c>
      <c r="N779">
        <v>27</v>
      </c>
      <c r="O779" t="s">
        <v>20</v>
      </c>
    </row>
    <row r="780" spans="1:15" x14ac:dyDescent="0.25">
      <c r="A780">
        <v>779</v>
      </c>
      <c r="B780" t="s">
        <v>13</v>
      </c>
      <c r="C780" t="s">
        <v>21</v>
      </c>
      <c r="D780">
        <v>90000</v>
      </c>
      <c r="E780">
        <v>5</v>
      </c>
      <c r="F780" s="2" t="s">
        <v>45</v>
      </c>
      <c r="G780" t="s">
        <v>22</v>
      </c>
      <c r="H780" t="s">
        <v>24</v>
      </c>
      <c r="I780" t="s">
        <v>17</v>
      </c>
      <c r="J780">
        <v>3</v>
      </c>
      <c r="K780" t="s">
        <v>44</v>
      </c>
      <c r="L780" t="s">
        <v>18</v>
      </c>
      <c r="M780" t="s">
        <v>36</v>
      </c>
      <c r="N780">
        <v>41</v>
      </c>
      <c r="O780" t="s">
        <v>20</v>
      </c>
    </row>
    <row r="781" spans="1:15" x14ac:dyDescent="0.25">
      <c r="A781">
        <v>780</v>
      </c>
      <c r="B781" t="s">
        <v>13</v>
      </c>
      <c r="C781" t="s">
        <v>21</v>
      </c>
      <c r="D781">
        <v>80000</v>
      </c>
      <c r="E781">
        <v>3</v>
      </c>
      <c r="F781" s="2" t="s">
        <v>45</v>
      </c>
      <c r="G781" t="s">
        <v>22</v>
      </c>
      <c r="H781" t="s">
        <v>24</v>
      </c>
      <c r="I781" t="s">
        <v>20</v>
      </c>
      <c r="J781">
        <v>2</v>
      </c>
      <c r="K781" t="s">
        <v>44</v>
      </c>
      <c r="L781" t="s">
        <v>25</v>
      </c>
      <c r="M781" t="s">
        <v>36</v>
      </c>
      <c r="N781">
        <v>50</v>
      </c>
      <c r="O781" t="s">
        <v>17</v>
      </c>
    </row>
    <row r="782" spans="1:15" x14ac:dyDescent="0.25">
      <c r="A782">
        <v>781</v>
      </c>
      <c r="B782" t="s">
        <v>13</v>
      </c>
      <c r="C782" t="s">
        <v>14</v>
      </c>
      <c r="D782">
        <v>60000</v>
      </c>
      <c r="E782">
        <v>2</v>
      </c>
      <c r="F782" s="2" t="s">
        <v>45</v>
      </c>
      <c r="G782" t="s">
        <v>22</v>
      </c>
      <c r="H782" t="s">
        <v>24</v>
      </c>
      <c r="I782" t="s">
        <v>17</v>
      </c>
      <c r="J782">
        <v>1</v>
      </c>
      <c r="K782" t="s">
        <v>44</v>
      </c>
      <c r="L782" t="s">
        <v>34</v>
      </c>
      <c r="M782" t="s">
        <v>36</v>
      </c>
      <c r="N782">
        <v>55</v>
      </c>
      <c r="O782" t="s">
        <v>20</v>
      </c>
    </row>
    <row r="783" spans="1:15" x14ac:dyDescent="0.25">
      <c r="A783">
        <v>782</v>
      </c>
      <c r="B783" t="s">
        <v>13</v>
      </c>
      <c r="C783" t="s">
        <v>21</v>
      </c>
      <c r="D783">
        <v>80000</v>
      </c>
      <c r="E783">
        <v>4</v>
      </c>
      <c r="F783" s="2" t="s">
        <v>45</v>
      </c>
      <c r="G783" t="s">
        <v>15</v>
      </c>
      <c r="H783" t="s">
        <v>32</v>
      </c>
      <c r="I783" t="s">
        <v>17</v>
      </c>
      <c r="J783">
        <v>0</v>
      </c>
      <c r="K783" t="s">
        <v>43</v>
      </c>
      <c r="L783" t="s">
        <v>18</v>
      </c>
      <c r="M783" t="s">
        <v>36</v>
      </c>
      <c r="N783">
        <v>43</v>
      </c>
      <c r="O783" t="s">
        <v>20</v>
      </c>
    </row>
    <row r="784" spans="1:15" x14ac:dyDescent="0.25">
      <c r="A784">
        <v>783</v>
      </c>
      <c r="B784" t="s">
        <v>26</v>
      </c>
      <c r="C784" t="s">
        <v>21</v>
      </c>
      <c r="D784">
        <v>70000</v>
      </c>
      <c r="E784">
        <v>4</v>
      </c>
      <c r="F784" s="2" t="s">
        <v>45</v>
      </c>
      <c r="G784" t="s">
        <v>15</v>
      </c>
      <c r="H784" t="s">
        <v>24</v>
      </c>
      <c r="I784" t="s">
        <v>17</v>
      </c>
      <c r="J784">
        <v>2</v>
      </c>
      <c r="K784" t="s">
        <v>44</v>
      </c>
      <c r="L784" t="s">
        <v>25</v>
      </c>
      <c r="M784" t="s">
        <v>36</v>
      </c>
      <c r="N784">
        <v>43</v>
      </c>
      <c r="O784" t="s">
        <v>17</v>
      </c>
    </row>
    <row r="785" spans="1:15" x14ac:dyDescent="0.25">
      <c r="A785">
        <v>784</v>
      </c>
      <c r="B785" t="s">
        <v>13</v>
      </c>
      <c r="C785" t="s">
        <v>21</v>
      </c>
      <c r="D785">
        <v>60000</v>
      </c>
      <c r="E785">
        <v>4</v>
      </c>
      <c r="F785" s="2" t="s">
        <v>45</v>
      </c>
      <c r="G785" t="s">
        <v>15</v>
      </c>
      <c r="H785" t="s">
        <v>16</v>
      </c>
      <c r="I785" t="s">
        <v>17</v>
      </c>
      <c r="J785">
        <v>3</v>
      </c>
      <c r="K785" t="s">
        <v>44</v>
      </c>
      <c r="L785" t="s">
        <v>27</v>
      </c>
      <c r="M785" t="s">
        <v>36</v>
      </c>
      <c r="N785">
        <v>42</v>
      </c>
      <c r="O785" t="s">
        <v>20</v>
      </c>
    </row>
    <row r="786" spans="1:15" x14ac:dyDescent="0.25">
      <c r="A786">
        <v>785</v>
      </c>
      <c r="B786" t="s">
        <v>26</v>
      </c>
      <c r="C786" t="s">
        <v>14</v>
      </c>
      <c r="D786">
        <v>10000</v>
      </c>
      <c r="E786">
        <v>2</v>
      </c>
      <c r="F786" s="2" t="s">
        <v>45</v>
      </c>
      <c r="G786" t="s">
        <v>31</v>
      </c>
      <c r="H786" t="s">
        <v>29</v>
      </c>
      <c r="I786" t="s">
        <v>17</v>
      </c>
      <c r="J786">
        <v>2</v>
      </c>
      <c r="K786" t="s">
        <v>44</v>
      </c>
      <c r="L786" t="s">
        <v>30</v>
      </c>
      <c r="M786" t="s">
        <v>36</v>
      </c>
      <c r="N786">
        <v>53</v>
      </c>
      <c r="O786" t="s">
        <v>17</v>
      </c>
    </row>
    <row r="787" spans="1:15" x14ac:dyDescent="0.25">
      <c r="A787">
        <v>786</v>
      </c>
      <c r="B787" t="s">
        <v>26</v>
      </c>
      <c r="C787" t="s">
        <v>14</v>
      </c>
      <c r="D787">
        <v>40000</v>
      </c>
      <c r="E787">
        <v>0</v>
      </c>
      <c r="F787" s="2" t="s">
        <v>46</v>
      </c>
      <c r="G787" t="s">
        <v>31</v>
      </c>
      <c r="H787" t="s">
        <v>16</v>
      </c>
      <c r="I787" t="s">
        <v>20</v>
      </c>
      <c r="J787">
        <v>2</v>
      </c>
      <c r="K787" t="s">
        <v>44</v>
      </c>
      <c r="L787" t="s">
        <v>18</v>
      </c>
      <c r="M787" t="s">
        <v>36</v>
      </c>
      <c r="N787">
        <v>28</v>
      </c>
      <c r="O787" t="s">
        <v>17</v>
      </c>
    </row>
    <row r="788" spans="1:15" x14ac:dyDescent="0.25">
      <c r="A788">
        <v>787</v>
      </c>
      <c r="B788" t="s">
        <v>13</v>
      </c>
      <c r="C788" t="s">
        <v>14</v>
      </c>
      <c r="D788">
        <v>50000</v>
      </c>
      <c r="E788">
        <v>1</v>
      </c>
      <c r="F788" s="2" t="s">
        <v>45</v>
      </c>
      <c r="G788" t="s">
        <v>15</v>
      </c>
      <c r="H788" t="s">
        <v>16</v>
      </c>
      <c r="I788" t="s">
        <v>17</v>
      </c>
      <c r="J788">
        <v>1</v>
      </c>
      <c r="K788" t="s">
        <v>44</v>
      </c>
      <c r="L788" t="s">
        <v>18</v>
      </c>
      <c r="M788" t="s">
        <v>36</v>
      </c>
      <c r="N788">
        <v>35</v>
      </c>
      <c r="O788" t="s">
        <v>20</v>
      </c>
    </row>
    <row r="789" spans="1:15" x14ac:dyDescent="0.25">
      <c r="A789">
        <v>788</v>
      </c>
      <c r="B789" t="s">
        <v>26</v>
      </c>
      <c r="C789" t="s">
        <v>14</v>
      </c>
      <c r="D789">
        <v>70000</v>
      </c>
      <c r="E789">
        <v>2</v>
      </c>
      <c r="F789" s="2" t="s">
        <v>45</v>
      </c>
      <c r="G789" t="s">
        <v>15</v>
      </c>
      <c r="H789" t="s">
        <v>32</v>
      </c>
      <c r="I789" t="s">
        <v>20</v>
      </c>
      <c r="J789">
        <v>1</v>
      </c>
      <c r="K789" t="s">
        <v>44</v>
      </c>
      <c r="L789" t="s">
        <v>25</v>
      </c>
      <c r="M789" t="s">
        <v>36</v>
      </c>
      <c r="N789">
        <v>59</v>
      </c>
      <c r="O789" t="s">
        <v>17</v>
      </c>
    </row>
    <row r="790" spans="1:15" x14ac:dyDescent="0.25">
      <c r="A790">
        <v>789</v>
      </c>
      <c r="B790" t="s">
        <v>26</v>
      </c>
      <c r="C790" t="s">
        <v>14</v>
      </c>
      <c r="D790">
        <v>20000</v>
      </c>
      <c r="E790">
        <v>2</v>
      </c>
      <c r="F790" s="2" t="s">
        <v>45</v>
      </c>
      <c r="G790" t="s">
        <v>33</v>
      </c>
      <c r="H790" t="s">
        <v>23</v>
      </c>
      <c r="I790" t="s">
        <v>17</v>
      </c>
      <c r="J790">
        <v>2</v>
      </c>
      <c r="K790" t="s">
        <v>44</v>
      </c>
      <c r="L790" t="s">
        <v>30</v>
      </c>
      <c r="M790" t="s">
        <v>36</v>
      </c>
      <c r="N790">
        <v>49</v>
      </c>
      <c r="O790" t="s">
        <v>20</v>
      </c>
    </row>
    <row r="791" spans="1:15" x14ac:dyDescent="0.25">
      <c r="A791">
        <v>790</v>
      </c>
      <c r="B791" t="s">
        <v>13</v>
      </c>
      <c r="C791" t="s">
        <v>21</v>
      </c>
      <c r="D791">
        <v>60000</v>
      </c>
      <c r="E791">
        <v>2</v>
      </c>
      <c r="F791" s="2" t="s">
        <v>45</v>
      </c>
      <c r="G791" t="s">
        <v>31</v>
      </c>
      <c r="H791" t="s">
        <v>24</v>
      </c>
      <c r="I791" t="s">
        <v>20</v>
      </c>
      <c r="J791">
        <v>2</v>
      </c>
      <c r="K791" t="s">
        <v>44</v>
      </c>
      <c r="L791" t="s">
        <v>30</v>
      </c>
      <c r="M791" t="s">
        <v>36</v>
      </c>
      <c r="N791">
        <v>48</v>
      </c>
      <c r="O791" t="s">
        <v>17</v>
      </c>
    </row>
    <row r="792" spans="1:15" x14ac:dyDescent="0.25">
      <c r="A792">
        <v>791</v>
      </c>
      <c r="B792" t="s">
        <v>26</v>
      </c>
      <c r="C792" t="s">
        <v>14</v>
      </c>
      <c r="D792">
        <v>80000</v>
      </c>
      <c r="E792">
        <v>2</v>
      </c>
      <c r="F792" s="2" t="s">
        <v>45</v>
      </c>
      <c r="G792" t="s">
        <v>33</v>
      </c>
      <c r="H792" t="s">
        <v>16</v>
      </c>
      <c r="I792" t="s">
        <v>20</v>
      </c>
      <c r="J792">
        <v>2</v>
      </c>
      <c r="K792" t="s">
        <v>44</v>
      </c>
      <c r="L792" t="s">
        <v>30</v>
      </c>
      <c r="M792" t="s">
        <v>36</v>
      </c>
      <c r="N792">
        <v>50</v>
      </c>
      <c r="O792" t="s">
        <v>20</v>
      </c>
    </row>
    <row r="793" spans="1:15" x14ac:dyDescent="0.25">
      <c r="A793">
        <v>792</v>
      </c>
      <c r="B793" t="s">
        <v>13</v>
      </c>
      <c r="C793" t="s">
        <v>21</v>
      </c>
      <c r="D793">
        <v>40000</v>
      </c>
      <c r="E793">
        <v>0</v>
      </c>
      <c r="F793" s="2" t="s">
        <v>46</v>
      </c>
      <c r="G793" t="s">
        <v>31</v>
      </c>
      <c r="H793" t="s">
        <v>16</v>
      </c>
      <c r="I793" t="s">
        <v>17</v>
      </c>
      <c r="J793">
        <v>2</v>
      </c>
      <c r="K793" t="s">
        <v>44</v>
      </c>
      <c r="L793" t="s">
        <v>27</v>
      </c>
      <c r="M793" t="s">
        <v>36</v>
      </c>
      <c r="N793">
        <v>28</v>
      </c>
      <c r="O793" t="s">
        <v>17</v>
      </c>
    </row>
    <row r="794" spans="1:15" x14ac:dyDescent="0.25">
      <c r="A794">
        <v>793</v>
      </c>
      <c r="B794" t="s">
        <v>26</v>
      </c>
      <c r="C794" t="s">
        <v>21</v>
      </c>
      <c r="D794">
        <v>30000</v>
      </c>
      <c r="E794">
        <v>1</v>
      </c>
      <c r="F794" s="2" t="s">
        <v>45</v>
      </c>
      <c r="G794" t="s">
        <v>31</v>
      </c>
      <c r="H794" t="s">
        <v>23</v>
      </c>
      <c r="I794" t="s">
        <v>20</v>
      </c>
      <c r="J794">
        <v>1</v>
      </c>
      <c r="K794" t="s">
        <v>44</v>
      </c>
      <c r="L794" t="s">
        <v>27</v>
      </c>
      <c r="M794" t="s">
        <v>36</v>
      </c>
      <c r="N794">
        <v>52</v>
      </c>
      <c r="O794" t="s">
        <v>20</v>
      </c>
    </row>
    <row r="795" spans="1:15" x14ac:dyDescent="0.25">
      <c r="A795">
        <v>794</v>
      </c>
      <c r="B795" t="s">
        <v>13</v>
      </c>
      <c r="C795" t="s">
        <v>21</v>
      </c>
      <c r="D795">
        <v>30000</v>
      </c>
      <c r="E795">
        <v>1</v>
      </c>
      <c r="F795" s="2" t="s">
        <v>45</v>
      </c>
      <c r="G795" t="s">
        <v>31</v>
      </c>
      <c r="H795" t="s">
        <v>23</v>
      </c>
      <c r="I795" t="s">
        <v>17</v>
      </c>
      <c r="J795">
        <v>1</v>
      </c>
      <c r="K795" t="s">
        <v>44</v>
      </c>
      <c r="L795" t="s">
        <v>25</v>
      </c>
      <c r="M795" t="s">
        <v>36</v>
      </c>
      <c r="N795">
        <v>52</v>
      </c>
      <c r="O795" t="s">
        <v>17</v>
      </c>
    </row>
    <row r="796" spans="1:15" x14ac:dyDescent="0.25">
      <c r="A796">
        <v>795</v>
      </c>
      <c r="B796" t="s">
        <v>13</v>
      </c>
      <c r="C796" t="s">
        <v>21</v>
      </c>
      <c r="D796">
        <v>50000</v>
      </c>
      <c r="E796">
        <v>2</v>
      </c>
      <c r="F796" s="2" t="s">
        <v>45</v>
      </c>
      <c r="G796" t="s">
        <v>35</v>
      </c>
      <c r="H796" t="s">
        <v>32</v>
      </c>
      <c r="I796" t="s">
        <v>17</v>
      </c>
      <c r="J796">
        <v>2</v>
      </c>
      <c r="K796" t="s">
        <v>44</v>
      </c>
      <c r="L796" t="s">
        <v>27</v>
      </c>
      <c r="M796" t="s">
        <v>36</v>
      </c>
      <c r="N796">
        <v>69</v>
      </c>
      <c r="O796" t="s">
        <v>20</v>
      </c>
    </row>
    <row r="797" spans="1:15" x14ac:dyDescent="0.25">
      <c r="A797">
        <v>796</v>
      </c>
      <c r="B797" t="s">
        <v>26</v>
      </c>
      <c r="C797" t="s">
        <v>21</v>
      </c>
      <c r="D797">
        <v>60000</v>
      </c>
      <c r="E797">
        <v>2</v>
      </c>
      <c r="F797" s="2" t="s">
        <v>45</v>
      </c>
      <c r="G797" t="s">
        <v>31</v>
      </c>
      <c r="H797" t="s">
        <v>24</v>
      </c>
      <c r="I797" t="s">
        <v>17</v>
      </c>
      <c r="J797">
        <v>2</v>
      </c>
      <c r="K797" t="s">
        <v>44</v>
      </c>
      <c r="L797" t="s">
        <v>27</v>
      </c>
      <c r="M797" t="s">
        <v>36</v>
      </c>
      <c r="N797">
        <v>51</v>
      </c>
      <c r="O797" t="s">
        <v>20</v>
      </c>
    </row>
    <row r="798" spans="1:15" x14ac:dyDescent="0.25">
      <c r="A798">
        <v>797</v>
      </c>
      <c r="B798" t="s">
        <v>13</v>
      </c>
      <c r="C798" t="s">
        <v>21</v>
      </c>
      <c r="D798">
        <v>70000</v>
      </c>
      <c r="E798">
        <v>5</v>
      </c>
      <c r="F798" s="2" t="s">
        <v>45</v>
      </c>
      <c r="G798" t="s">
        <v>22</v>
      </c>
      <c r="H798" t="s">
        <v>24</v>
      </c>
      <c r="I798" t="s">
        <v>17</v>
      </c>
      <c r="J798">
        <v>2</v>
      </c>
      <c r="K798" t="s">
        <v>44</v>
      </c>
      <c r="L798" t="s">
        <v>30</v>
      </c>
      <c r="M798" t="s">
        <v>36</v>
      </c>
      <c r="N798">
        <v>57</v>
      </c>
      <c r="O798" t="s">
        <v>17</v>
      </c>
    </row>
    <row r="799" spans="1:15" x14ac:dyDescent="0.25">
      <c r="A799">
        <v>798</v>
      </c>
      <c r="B799" t="s">
        <v>26</v>
      </c>
      <c r="C799" t="s">
        <v>21</v>
      </c>
      <c r="D799">
        <v>60000</v>
      </c>
      <c r="E799">
        <v>0</v>
      </c>
      <c r="F799" s="2" t="s">
        <v>46</v>
      </c>
      <c r="G799" t="s">
        <v>22</v>
      </c>
      <c r="H799" t="s">
        <v>16</v>
      </c>
      <c r="I799" t="s">
        <v>17</v>
      </c>
      <c r="J799">
        <v>1</v>
      </c>
      <c r="K799" t="s">
        <v>44</v>
      </c>
      <c r="L799" t="s">
        <v>27</v>
      </c>
      <c r="M799" t="s">
        <v>36</v>
      </c>
      <c r="N799">
        <v>27</v>
      </c>
      <c r="O799" t="s">
        <v>17</v>
      </c>
    </row>
    <row r="800" spans="1:15" x14ac:dyDescent="0.25">
      <c r="A800">
        <v>799</v>
      </c>
      <c r="B800" t="s">
        <v>26</v>
      </c>
      <c r="C800" t="s">
        <v>14</v>
      </c>
      <c r="D800">
        <v>30000</v>
      </c>
      <c r="E800">
        <v>0</v>
      </c>
      <c r="F800" s="2" t="s">
        <v>46</v>
      </c>
      <c r="G800" t="s">
        <v>31</v>
      </c>
      <c r="H800" t="s">
        <v>16</v>
      </c>
      <c r="I800" t="s">
        <v>20</v>
      </c>
      <c r="J800">
        <v>2</v>
      </c>
      <c r="K800" t="s">
        <v>44</v>
      </c>
      <c r="L800" t="s">
        <v>18</v>
      </c>
      <c r="M800" t="s">
        <v>36</v>
      </c>
      <c r="N800">
        <v>25</v>
      </c>
      <c r="O800" t="s">
        <v>17</v>
      </c>
    </row>
    <row r="801" spans="1:15" x14ac:dyDescent="0.25">
      <c r="A801">
        <v>800</v>
      </c>
      <c r="B801" t="s">
        <v>26</v>
      </c>
      <c r="C801" t="s">
        <v>14</v>
      </c>
      <c r="D801">
        <v>50000</v>
      </c>
      <c r="E801">
        <v>1</v>
      </c>
      <c r="F801" s="2" t="s">
        <v>45</v>
      </c>
      <c r="G801" t="s">
        <v>35</v>
      </c>
      <c r="H801" t="s">
        <v>16</v>
      </c>
      <c r="I801" t="s">
        <v>17</v>
      </c>
      <c r="J801">
        <v>0</v>
      </c>
      <c r="K801" t="s">
        <v>43</v>
      </c>
      <c r="L801" t="s">
        <v>30</v>
      </c>
      <c r="M801" t="s">
        <v>36</v>
      </c>
      <c r="N801">
        <v>33</v>
      </c>
      <c r="O801" t="s">
        <v>17</v>
      </c>
    </row>
    <row r="802" spans="1:15" x14ac:dyDescent="0.25">
      <c r="A802">
        <v>801</v>
      </c>
      <c r="B802" t="s">
        <v>26</v>
      </c>
      <c r="C802" t="s">
        <v>21</v>
      </c>
      <c r="D802">
        <v>60000</v>
      </c>
      <c r="E802">
        <v>4</v>
      </c>
      <c r="F802" s="2" t="s">
        <v>45</v>
      </c>
      <c r="G802" t="s">
        <v>15</v>
      </c>
      <c r="H802" t="s">
        <v>24</v>
      </c>
      <c r="I802" t="s">
        <v>17</v>
      </c>
      <c r="J802">
        <v>2</v>
      </c>
      <c r="K802" t="s">
        <v>44</v>
      </c>
      <c r="L802" t="s">
        <v>25</v>
      </c>
      <c r="M802" t="s">
        <v>36</v>
      </c>
      <c r="N802">
        <v>43</v>
      </c>
      <c r="O802" t="s">
        <v>17</v>
      </c>
    </row>
    <row r="803" spans="1:15" x14ac:dyDescent="0.25">
      <c r="A803">
        <v>802</v>
      </c>
      <c r="B803" t="s">
        <v>13</v>
      </c>
      <c r="C803" t="s">
        <v>21</v>
      </c>
      <c r="D803">
        <v>70000</v>
      </c>
      <c r="E803">
        <v>4</v>
      </c>
      <c r="F803" s="2" t="s">
        <v>45</v>
      </c>
      <c r="G803" t="s">
        <v>35</v>
      </c>
      <c r="H803" t="s">
        <v>32</v>
      </c>
      <c r="I803" t="s">
        <v>17</v>
      </c>
      <c r="J803">
        <v>2</v>
      </c>
      <c r="K803" t="s">
        <v>44</v>
      </c>
      <c r="L803" t="s">
        <v>27</v>
      </c>
      <c r="M803" t="s">
        <v>36</v>
      </c>
      <c r="N803">
        <v>73</v>
      </c>
      <c r="O803" t="s">
        <v>20</v>
      </c>
    </row>
    <row r="804" spans="1:15" x14ac:dyDescent="0.25">
      <c r="A804">
        <v>803</v>
      </c>
      <c r="B804" t="s">
        <v>13</v>
      </c>
      <c r="C804" t="s">
        <v>21</v>
      </c>
      <c r="D804">
        <v>40000</v>
      </c>
      <c r="E804">
        <v>0</v>
      </c>
      <c r="F804" s="2" t="s">
        <v>46</v>
      </c>
      <c r="G804" t="s">
        <v>22</v>
      </c>
      <c r="H804" t="s">
        <v>16</v>
      </c>
      <c r="I804" t="s">
        <v>17</v>
      </c>
      <c r="J804">
        <v>1</v>
      </c>
      <c r="K804" t="s">
        <v>44</v>
      </c>
      <c r="L804" t="s">
        <v>27</v>
      </c>
      <c r="M804" t="s">
        <v>36</v>
      </c>
      <c r="N804">
        <v>27</v>
      </c>
      <c r="O804" t="s">
        <v>20</v>
      </c>
    </row>
    <row r="805" spans="1:15" x14ac:dyDescent="0.25">
      <c r="A805">
        <v>804</v>
      </c>
      <c r="B805" t="s">
        <v>13</v>
      </c>
      <c r="C805" t="s">
        <v>21</v>
      </c>
      <c r="D805">
        <v>40000</v>
      </c>
      <c r="E805">
        <v>0</v>
      </c>
      <c r="F805" s="2" t="s">
        <v>46</v>
      </c>
      <c r="G805" t="s">
        <v>31</v>
      </c>
      <c r="H805" t="s">
        <v>16</v>
      </c>
      <c r="I805" t="s">
        <v>17</v>
      </c>
      <c r="J805">
        <v>2</v>
      </c>
      <c r="K805" t="s">
        <v>44</v>
      </c>
      <c r="L805" t="s">
        <v>27</v>
      </c>
      <c r="M805" t="s">
        <v>36</v>
      </c>
      <c r="N805">
        <v>28</v>
      </c>
      <c r="O805" t="s">
        <v>17</v>
      </c>
    </row>
    <row r="806" spans="1:15" x14ac:dyDescent="0.25">
      <c r="A806">
        <v>805</v>
      </c>
      <c r="B806" t="s">
        <v>13</v>
      </c>
      <c r="C806" t="s">
        <v>21</v>
      </c>
      <c r="D806">
        <v>40000</v>
      </c>
      <c r="E806">
        <v>0</v>
      </c>
      <c r="F806" s="2" t="s">
        <v>46</v>
      </c>
      <c r="G806" t="s">
        <v>31</v>
      </c>
      <c r="H806" t="s">
        <v>16</v>
      </c>
      <c r="I806" t="s">
        <v>20</v>
      </c>
      <c r="J806">
        <v>2</v>
      </c>
      <c r="K806" t="s">
        <v>44</v>
      </c>
      <c r="L806" t="s">
        <v>18</v>
      </c>
      <c r="M806" t="s">
        <v>36</v>
      </c>
      <c r="N806">
        <v>27</v>
      </c>
      <c r="O806" t="s">
        <v>17</v>
      </c>
    </row>
    <row r="807" spans="1:15" x14ac:dyDescent="0.25">
      <c r="A807">
        <v>806</v>
      </c>
      <c r="B807" t="s">
        <v>26</v>
      </c>
      <c r="C807" t="s">
        <v>14</v>
      </c>
      <c r="D807">
        <v>40000</v>
      </c>
      <c r="E807">
        <v>0</v>
      </c>
      <c r="F807" s="2" t="s">
        <v>46</v>
      </c>
      <c r="G807" t="s">
        <v>31</v>
      </c>
      <c r="H807" t="s">
        <v>16</v>
      </c>
      <c r="I807" t="s">
        <v>17</v>
      </c>
      <c r="J807">
        <v>2</v>
      </c>
      <c r="K807" t="s">
        <v>44</v>
      </c>
      <c r="L807" t="s">
        <v>27</v>
      </c>
      <c r="M807" t="s">
        <v>36</v>
      </c>
      <c r="N807">
        <v>31</v>
      </c>
      <c r="O807" t="s">
        <v>20</v>
      </c>
    </row>
    <row r="808" spans="1:15" x14ac:dyDescent="0.25">
      <c r="A808">
        <v>807</v>
      </c>
      <c r="B808" t="s">
        <v>13</v>
      </c>
      <c r="C808" t="s">
        <v>14</v>
      </c>
      <c r="D808">
        <v>10000</v>
      </c>
      <c r="E808">
        <v>2</v>
      </c>
      <c r="F808" s="2" t="s">
        <v>45</v>
      </c>
      <c r="G808" t="s">
        <v>31</v>
      </c>
      <c r="H808" t="s">
        <v>29</v>
      </c>
      <c r="I808" t="s">
        <v>17</v>
      </c>
      <c r="J808">
        <v>2</v>
      </c>
      <c r="K808" t="s">
        <v>44</v>
      </c>
      <c r="L808" t="s">
        <v>30</v>
      </c>
      <c r="M808" t="s">
        <v>36</v>
      </c>
      <c r="N808">
        <v>53</v>
      </c>
      <c r="O808" t="s">
        <v>20</v>
      </c>
    </row>
    <row r="809" spans="1:15" x14ac:dyDescent="0.25">
      <c r="A809">
        <v>808</v>
      </c>
      <c r="B809" t="s">
        <v>26</v>
      </c>
      <c r="C809" t="s">
        <v>14</v>
      </c>
      <c r="D809">
        <v>60000</v>
      </c>
      <c r="E809">
        <v>0</v>
      </c>
      <c r="F809" s="2" t="s">
        <v>46</v>
      </c>
      <c r="G809" t="s">
        <v>22</v>
      </c>
      <c r="H809" t="s">
        <v>24</v>
      </c>
      <c r="I809" t="s">
        <v>20</v>
      </c>
      <c r="J809">
        <v>2</v>
      </c>
      <c r="K809" t="s">
        <v>44</v>
      </c>
      <c r="L809" t="s">
        <v>30</v>
      </c>
      <c r="M809" t="s">
        <v>36</v>
      </c>
      <c r="N809">
        <v>32</v>
      </c>
      <c r="O809" t="s">
        <v>17</v>
      </c>
    </row>
    <row r="810" spans="1:15" x14ac:dyDescent="0.25">
      <c r="A810">
        <v>809</v>
      </c>
      <c r="B810" t="s">
        <v>26</v>
      </c>
      <c r="C810" t="s">
        <v>21</v>
      </c>
      <c r="D810">
        <v>30000</v>
      </c>
      <c r="E810">
        <v>2</v>
      </c>
      <c r="F810" s="2" t="s">
        <v>45</v>
      </c>
      <c r="G810" t="s">
        <v>31</v>
      </c>
      <c r="H810" t="s">
        <v>16</v>
      </c>
      <c r="I810" t="s">
        <v>17</v>
      </c>
      <c r="J810">
        <v>2</v>
      </c>
      <c r="K810" t="s">
        <v>44</v>
      </c>
      <c r="L810" t="s">
        <v>30</v>
      </c>
      <c r="M810" t="s">
        <v>36</v>
      </c>
      <c r="N810">
        <v>50</v>
      </c>
      <c r="O810" t="s">
        <v>17</v>
      </c>
    </row>
    <row r="811" spans="1:15" x14ac:dyDescent="0.25">
      <c r="A811">
        <v>810</v>
      </c>
      <c r="B811" t="s">
        <v>13</v>
      </c>
      <c r="C811" t="s">
        <v>14</v>
      </c>
      <c r="D811">
        <v>40000</v>
      </c>
      <c r="E811">
        <v>4</v>
      </c>
      <c r="F811" s="2" t="s">
        <v>45</v>
      </c>
      <c r="G811" t="s">
        <v>31</v>
      </c>
      <c r="H811" t="s">
        <v>24</v>
      </c>
      <c r="I811" t="s">
        <v>17</v>
      </c>
      <c r="J811">
        <v>2</v>
      </c>
      <c r="K811" t="s">
        <v>44</v>
      </c>
      <c r="L811" t="s">
        <v>27</v>
      </c>
      <c r="M811" t="s">
        <v>36</v>
      </c>
      <c r="N811">
        <v>69</v>
      </c>
      <c r="O811" t="s">
        <v>20</v>
      </c>
    </row>
    <row r="812" spans="1:15" x14ac:dyDescent="0.25">
      <c r="A812">
        <v>811</v>
      </c>
      <c r="B812" t="s">
        <v>26</v>
      </c>
      <c r="C812" t="s">
        <v>14</v>
      </c>
      <c r="D812">
        <v>70000</v>
      </c>
      <c r="E812">
        <v>3</v>
      </c>
      <c r="F812" s="2" t="s">
        <v>45</v>
      </c>
      <c r="G812" t="s">
        <v>35</v>
      </c>
      <c r="H812" t="s">
        <v>32</v>
      </c>
      <c r="I812" t="s">
        <v>17</v>
      </c>
      <c r="J812">
        <v>2</v>
      </c>
      <c r="K812" t="s">
        <v>44</v>
      </c>
      <c r="L812" t="s">
        <v>27</v>
      </c>
      <c r="M812" t="s">
        <v>36</v>
      </c>
      <c r="N812">
        <v>52</v>
      </c>
      <c r="O812" t="s">
        <v>17</v>
      </c>
    </row>
    <row r="813" spans="1:15" x14ac:dyDescent="0.25">
      <c r="A813">
        <v>812</v>
      </c>
      <c r="B813" t="s">
        <v>13</v>
      </c>
      <c r="C813" t="s">
        <v>21</v>
      </c>
      <c r="D813">
        <v>60000</v>
      </c>
      <c r="E813">
        <v>0</v>
      </c>
      <c r="F813" s="2" t="s">
        <v>46</v>
      </c>
      <c r="G813" t="s">
        <v>22</v>
      </c>
      <c r="H813" t="s">
        <v>16</v>
      </c>
      <c r="I813" t="s">
        <v>20</v>
      </c>
      <c r="J813">
        <v>2</v>
      </c>
      <c r="K813" t="s">
        <v>44</v>
      </c>
      <c r="L813" t="s">
        <v>30</v>
      </c>
      <c r="M813" t="s">
        <v>36</v>
      </c>
      <c r="N813">
        <v>31</v>
      </c>
      <c r="O813" t="s">
        <v>20</v>
      </c>
    </row>
    <row r="814" spans="1:15" x14ac:dyDescent="0.25">
      <c r="A814">
        <v>813</v>
      </c>
      <c r="B814" t="s">
        <v>26</v>
      </c>
      <c r="C814" t="s">
        <v>14</v>
      </c>
      <c r="D814">
        <v>70000</v>
      </c>
      <c r="E814">
        <v>4</v>
      </c>
      <c r="F814" s="2" t="s">
        <v>45</v>
      </c>
      <c r="G814" t="s">
        <v>15</v>
      </c>
      <c r="H814" t="s">
        <v>32</v>
      </c>
      <c r="I814" t="s">
        <v>17</v>
      </c>
      <c r="J814">
        <v>2</v>
      </c>
      <c r="K814" t="s">
        <v>44</v>
      </c>
      <c r="L814" t="s">
        <v>34</v>
      </c>
      <c r="M814" t="s">
        <v>36</v>
      </c>
      <c r="N814">
        <v>61</v>
      </c>
      <c r="O814" t="s">
        <v>20</v>
      </c>
    </row>
    <row r="815" spans="1:15" x14ac:dyDescent="0.25">
      <c r="A815">
        <v>814</v>
      </c>
      <c r="B815" t="s">
        <v>13</v>
      </c>
      <c r="C815" t="s">
        <v>14</v>
      </c>
      <c r="D815">
        <v>70000</v>
      </c>
      <c r="E815">
        <v>2</v>
      </c>
      <c r="F815" s="2" t="s">
        <v>45</v>
      </c>
      <c r="G815" t="s">
        <v>31</v>
      </c>
      <c r="H815" t="s">
        <v>24</v>
      </c>
      <c r="I815" t="s">
        <v>17</v>
      </c>
      <c r="J815">
        <v>2</v>
      </c>
      <c r="K815" t="s">
        <v>44</v>
      </c>
      <c r="L815" t="s">
        <v>34</v>
      </c>
      <c r="M815" t="s">
        <v>36</v>
      </c>
      <c r="N815">
        <v>53</v>
      </c>
      <c r="O815" t="s">
        <v>20</v>
      </c>
    </row>
    <row r="816" spans="1:15" x14ac:dyDescent="0.25">
      <c r="A816">
        <v>815</v>
      </c>
      <c r="B816" t="s">
        <v>26</v>
      </c>
      <c r="C816" t="s">
        <v>14</v>
      </c>
      <c r="D816">
        <v>70000</v>
      </c>
      <c r="E816">
        <v>4</v>
      </c>
      <c r="F816" s="2" t="s">
        <v>45</v>
      </c>
      <c r="G816" t="s">
        <v>15</v>
      </c>
      <c r="H816" t="s">
        <v>32</v>
      </c>
      <c r="I816" t="s">
        <v>17</v>
      </c>
      <c r="J816">
        <v>2</v>
      </c>
      <c r="K816" t="s">
        <v>44</v>
      </c>
      <c r="L816" t="s">
        <v>30</v>
      </c>
      <c r="M816" t="s">
        <v>36</v>
      </c>
      <c r="N816">
        <v>62</v>
      </c>
      <c r="O816" t="s">
        <v>17</v>
      </c>
    </row>
    <row r="817" spans="1:15" x14ac:dyDescent="0.25">
      <c r="A817">
        <v>816</v>
      </c>
      <c r="B817" t="s">
        <v>13</v>
      </c>
      <c r="C817" t="s">
        <v>21</v>
      </c>
      <c r="D817">
        <v>40000</v>
      </c>
      <c r="E817">
        <v>0</v>
      </c>
      <c r="F817" s="2" t="s">
        <v>46</v>
      </c>
      <c r="G817" t="s">
        <v>22</v>
      </c>
      <c r="H817" t="s">
        <v>16</v>
      </c>
      <c r="I817" t="s">
        <v>20</v>
      </c>
      <c r="J817">
        <v>2</v>
      </c>
      <c r="K817" t="s">
        <v>44</v>
      </c>
      <c r="L817" t="s">
        <v>30</v>
      </c>
      <c r="M817" t="s">
        <v>36</v>
      </c>
      <c r="N817">
        <v>30</v>
      </c>
      <c r="O817" t="s">
        <v>20</v>
      </c>
    </row>
    <row r="818" spans="1:15" x14ac:dyDescent="0.25">
      <c r="A818">
        <v>817</v>
      </c>
      <c r="B818" t="s">
        <v>13</v>
      </c>
      <c r="C818" t="s">
        <v>14</v>
      </c>
      <c r="D818">
        <v>60000</v>
      </c>
      <c r="E818">
        <v>3</v>
      </c>
      <c r="F818" s="2" t="s">
        <v>45</v>
      </c>
      <c r="G818" t="s">
        <v>35</v>
      </c>
      <c r="H818" t="s">
        <v>24</v>
      </c>
      <c r="I818" t="s">
        <v>17</v>
      </c>
      <c r="J818">
        <v>0</v>
      </c>
      <c r="K818" t="s">
        <v>43</v>
      </c>
      <c r="L818" t="s">
        <v>25</v>
      </c>
      <c r="M818" t="s">
        <v>36</v>
      </c>
      <c r="N818">
        <v>43</v>
      </c>
      <c r="O818" t="s">
        <v>17</v>
      </c>
    </row>
    <row r="819" spans="1:15" x14ac:dyDescent="0.25">
      <c r="A819">
        <v>818</v>
      </c>
      <c r="B819" t="s">
        <v>13</v>
      </c>
      <c r="C819" t="s">
        <v>14</v>
      </c>
      <c r="D819">
        <v>60000</v>
      </c>
      <c r="E819">
        <v>3</v>
      </c>
      <c r="F819" s="2" t="s">
        <v>45</v>
      </c>
      <c r="G819" t="s">
        <v>35</v>
      </c>
      <c r="H819" t="s">
        <v>24</v>
      </c>
      <c r="I819" t="s">
        <v>17</v>
      </c>
      <c r="J819">
        <v>0</v>
      </c>
      <c r="K819" t="s">
        <v>43</v>
      </c>
      <c r="L819" t="s">
        <v>25</v>
      </c>
      <c r="M819" t="s">
        <v>36</v>
      </c>
      <c r="N819">
        <v>42</v>
      </c>
      <c r="O819" t="s">
        <v>17</v>
      </c>
    </row>
    <row r="820" spans="1:15" x14ac:dyDescent="0.25">
      <c r="A820">
        <v>819</v>
      </c>
      <c r="B820" t="s">
        <v>13</v>
      </c>
      <c r="C820" t="s">
        <v>21</v>
      </c>
      <c r="D820">
        <v>40000</v>
      </c>
      <c r="E820">
        <v>0</v>
      </c>
      <c r="F820" s="2" t="s">
        <v>46</v>
      </c>
      <c r="G820" t="s">
        <v>22</v>
      </c>
      <c r="H820" t="s">
        <v>16</v>
      </c>
      <c r="I820" t="s">
        <v>17</v>
      </c>
      <c r="J820">
        <v>1</v>
      </c>
      <c r="K820" t="s">
        <v>44</v>
      </c>
      <c r="L820" t="s">
        <v>27</v>
      </c>
      <c r="M820" t="s">
        <v>36</v>
      </c>
      <c r="N820">
        <v>30</v>
      </c>
      <c r="O820" t="s">
        <v>20</v>
      </c>
    </row>
    <row r="821" spans="1:15" x14ac:dyDescent="0.25">
      <c r="A821">
        <v>820</v>
      </c>
      <c r="B821" t="s">
        <v>26</v>
      </c>
      <c r="C821" t="s">
        <v>14</v>
      </c>
      <c r="D821">
        <v>40000</v>
      </c>
      <c r="E821">
        <v>0</v>
      </c>
      <c r="F821" s="2" t="s">
        <v>46</v>
      </c>
      <c r="G821" t="s">
        <v>31</v>
      </c>
      <c r="H821" t="s">
        <v>16</v>
      </c>
      <c r="I821" t="s">
        <v>17</v>
      </c>
      <c r="J821">
        <v>2</v>
      </c>
      <c r="K821" t="s">
        <v>44</v>
      </c>
      <c r="L821" t="s">
        <v>27</v>
      </c>
      <c r="M821" t="s">
        <v>36</v>
      </c>
      <c r="N821">
        <v>30</v>
      </c>
      <c r="O821" t="s">
        <v>20</v>
      </c>
    </row>
    <row r="822" spans="1:15" x14ac:dyDescent="0.25">
      <c r="A822">
        <v>821</v>
      </c>
      <c r="B822" t="s">
        <v>26</v>
      </c>
      <c r="C822" t="s">
        <v>21</v>
      </c>
      <c r="D822">
        <v>110000</v>
      </c>
      <c r="E822">
        <v>1</v>
      </c>
      <c r="F822" s="2" t="s">
        <v>45</v>
      </c>
      <c r="G822" t="s">
        <v>15</v>
      </c>
      <c r="H822" t="s">
        <v>32</v>
      </c>
      <c r="I822" t="s">
        <v>17</v>
      </c>
      <c r="J822">
        <v>1</v>
      </c>
      <c r="K822" t="s">
        <v>44</v>
      </c>
      <c r="L822" t="s">
        <v>27</v>
      </c>
      <c r="M822" t="s">
        <v>36</v>
      </c>
      <c r="N822">
        <v>43</v>
      </c>
      <c r="O822" t="s">
        <v>20</v>
      </c>
    </row>
    <row r="823" spans="1:15" x14ac:dyDescent="0.25">
      <c r="A823">
        <v>822</v>
      </c>
      <c r="B823" t="s">
        <v>13</v>
      </c>
      <c r="C823" t="s">
        <v>21</v>
      </c>
      <c r="D823">
        <v>60000</v>
      </c>
      <c r="E823">
        <v>0</v>
      </c>
      <c r="F823" s="2" t="s">
        <v>46</v>
      </c>
      <c r="G823" t="s">
        <v>22</v>
      </c>
      <c r="H823" t="s">
        <v>16</v>
      </c>
      <c r="I823" t="s">
        <v>17</v>
      </c>
      <c r="J823">
        <v>2</v>
      </c>
      <c r="K823" t="s">
        <v>44</v>
      </c>
      <c r="L823" t="s">
        <v>27</v>
      </c>
      <c r="M823" t="s">
        <v>36</v>
      </c>
      <c r="N823">
        <v>33</v>
      </c>
      <c r="O823" t="s">
        <v>17</v>
      </c>
    </row>
    <row r="824" spans="1:15" x14ac:dyDescent="0.25">
      <c r="A824">
        <v>823</v>
      </c>
      <c r="B824" t="s">
        <v>13</v>
      </c>
      <c r="C824" t="s">
        <v>21</v>
      </c>
      <c r="D824">
        <v>30000</v>
      </c>
      <c r="E824">
        <v>0</v>
      </c>
      <c r="F824" s="2" t="s">
        <v>46</v>
      </c>
      <c r="G824" t="s">
        <v>31</v>
      </c>
      <c r="H824" t="s">
        <v>16</v>
      </c>
      <c r="I824" t="s">
        <v>17</v>
      </c>
      <c r="J824">
        <v>2</v>
      </c>
      <c r="K824" t="s">
        <v>44</v>
      </c>
      <c r="L824" t="s">
        <v>27</v>
      </c>
      <c r="M824" t="s">
        <v>36</v>
      </c>
      <c r="N824">
        <v>32</v>
      </c>
      <c r="O824" t="s">
        <v>20</v>
      </c>
    </row>
    <row r="825" spans="1:15" x14ac:dyDescent="0.25">
      <c r="A825">
        <v>824</v>
      </c>
      <c r="B825" t="s">
        <v>26</v>
      </c>
      <c r="C825" t="s">
        <v>14</v>
      </c>
      <c r="D825">
        <v>70000</v>
      </c>
      <c r="E825">
        <v>4</v>
      </c>
      <c r="F825" s="2" t="s">
        <v>45</v>
      </c>
      <c r="G825" t="s">
        <v>31</v>
      </c>
      <c r="H825" t="s">
        <v>24</v>
      </c>
      <c r="I825" t="s">
        <v>17</v>
      </c>
      <c r="J825">
        <v>0</v>
      </c>
      <c r="K825" t="s">
        <v>43</v>
      </c>
      <c r="L825" t="s">
        <v>27</v>
      </c>
      <c r="M825" t="s">
        <v>36</v>
      </c>
      <c r="N825">
        <v>50</v>
      </c>
      <c r="O825" t="s">
        <v>17</v>
      </c>
    </row>
    <row r="826" spans="1:15" x14ac:dyDescent="0.25">
      <c r="A826">
        <v>825</v>
      </c>
      <c r="B826" t="s">
        <v>26</v>
      </c>
      <c r="C826" t="s">
        <v>21</v>
      </c>
      <c r="D826">
        <v>110000</v>
      </c>
      <c r="E826">
        <v>2</v>
      </c>
      <c r="F826" s="2" t="s">
        <v>45</v>
      </c>
      <c r="G826" t="s">
        <v>15</v>
      </c>
      <c r="H826" t="s">
        <v>32</v>
      </c>
      <c r="I826" t="s">
        <v>20</v>
      </c>
      <c r="J826">
        <v>3</v>
      </c>
      <c r="K826" t="s">
        <v>44</v>
      </c>
      <c r="L826" t="s">
        <v>18</v>
      </c>
      <c r="M826" t="s">
        <v>36</v>
      </c>
      <c r="N826">
        <v>37</v>
      </c>
      <c r="O826" t="s">
        <v>17</v>
      </c>
    </row>
    <row r="827" spans="1:15" x14ac:dyDescent="0.25">
      <c r="A827">
        <v>826</v>
      </c>
      <c r="B827" t="s">
        <v>13</v>
      </c>
      <c r="C827" t="s">
        <v>21</v>
      </c>
      <c r="D827">
        <v>70000</v>
      </c>
      <c r="E827">
        <v>3</v>
      </c>
      <c r="F827" s="2" t="s">
        <v>45</v>
      </c>
      <c r="G827" t="s">
        <v>31</v>
      </c>
      <c r="H827" t="s">
        <v>24</v>
      </c>
      <c r="I827" t="s">
        <v>20</v>
      </c>
      <c r="J827">
        <v>1</v>
      </c>
      <c r="K827" t="s">
        <v>44</v>
      </c>
      <c r="L827" t="s">
        <v>30</v>
      </c>
      <c r="M827" t="s">
        <v>36</v>
      </c>
      <c r="N827">
        <v>52</v>
      </c>
      <c r="O827" t="s">
        <v>17</v>
      </c>
    </row>
    <row r="828" spans="1:15" x14ac:dyDescent="0.25">
      <c r="A828">
        <v>827</v>
      </c>
      <c r="B828" t="s">
        <v>13</v>
      </c>
      <c r="C828" t="s">
        <v>21</v>
      </c>
      <c r="D828">
        <v>70000</v>
      </c>
      <c r="E828">
        <v>4</v>
      </c>
      <c r="F828" s="2" t="s">
        <v>45</v>
      </c>
      <c r="G828" t="s">
        <v>35</v>
      </c>
      <c r="H828" t="s">
        <v>24</v>
      </c>
      <c r="I828" t="s">
        <v>17</v>
      </c>
      <c r="J828">
        <v>0</v>
      </c>
      <c r="K828" t="s">
        <v>43</v>
      </c>
      <c r="L828" t="s">
        <v>25</v>
      </c>
      <c r="M828" t="s">
        <v>36</v>
      </c>
      <c r="N828">
        <v>36</v>
      </c>
      <c r="O828" t="s">
        <v>17</v>
      </c>
    </row>
    <row r="829" spans="1:15" x14ac:dyDescent="0.25">
      <c r="A829">
        <v>828</v>
      </c>
      <c r="B829" t="s">
        <v>26</v>
      </c>
      <c r="C829" t="s">
        <v>14</v>
      </c>
      <c r="D829">
        <v>80000</v>
      </c>
      <c r="E829">
        <v>3</v>
      </c>
      <c r="F829" s="2" t="s">
        <v>45</v>
      </c>
      <c r="G829" t="s">
        <v>15</v>
      </c>
      <c r="H829" t="s">
        <v>16</v>
      </c>
      <c r="I829" t="s">
        <v>17</v>
      </c>
      <c r="J829">
        <v>2</v>
      </c>
      <c r="K829" t="s">
        <v>44</v>
      </c>
      <c r="L829" t="s">
        <v>25</v>
      </c>
      <c r="M829" t="s">
        <v>36</v>
      </c>
      <c r="N829">
        <v>41</v>
      </c>
      <c r="O829" t="s">
        <v>17</v>
      </c>
    </row>
    <row r="830" spans="1:15" x14ac:dyDescent="0.25">
      <c r="A830">
        <v>829</v>
      </c>
      <c r="B830" t="s">
        <v>26</v>
      </c>
      <c r="C830" t="s">
        <v>14</v>
      </c>
      <c r="D830">
        <v>40000</v>
      </c>
      <c r="E830">
        <v>0</v>
      </c>
      <c r="F830" s="2" t="s">
        <v>46</v>
      </c>
      <c r="G830" t="s">
        <v>33</v>
      </c>
      <c r="H830" t="s">
        <v>23</v>
      </c>
      <c r="I830" t="s">
        <v>17</v>
      </c>
      <c r="J830">
        <v>2</v>
      </c>
      <c r="K830" t="s">
        <v>44</v>
      </c>
      <c r="L830" t="s">
        <v>27</v>
      </c>
      <c r="M830" t="s">
        <v>36</v>
      </c>
      <c r="N830">
        <v>26</v>
      </c>
      <c r="O830" t="s">
        <v>20</v>
      </c>
    </row>
    <row r="831" spans="1:15" x14ac:dyDescent="0.25">
      <c r="A831">
        <v>830</v>
      </c>
      <c r="B831" t="s">
        <v>26</v>
      </c>
      <c r="C831" t="s">
        <v>21</v>
      </c>
      <c r="D831">
        <v>170000</v>
      </c>
      <c r="E831">
        <v>1</v>
      </c>
      <c r="F831" s="2" t="s">
        <v>45</v>
      </c>
      <c r="G831" t="s">
        <v>35</v>
      </c>
      <c r="H831" t="s">
        <v>32</v>
      </c>
      <c r="I831" t="s">
        <v>20</v>
      </c>
      <c r="J831">
        <v>4</v>
      </c>
      <c r="K831" t="s">
        <v>44</v>
      </c>
      <c r="L831" t="s">
        <v>18</v>
      </c>
      <c r="M831" t="s">
        <v>36</v>
      </c>
      <c r="N831">
        <v>66</v>
      </c>
      <c r="O831" t="s">
        <v>20</v>
      </c>
    </row>
    <row r="832" spans="1:15" x14ac:dyDescent="0.25">
      <c r="A832">
        <v>831</v>
      </c>
      <c r="B832" t="s">
        <v>13</v>
      </c>
      <c r="C832" t="s">
        <v>21</v>
      </c>
      <c r="D832">
        <v>60000</v>
      </c>
      <c r="E832">
        <v>2</v>
      </c>
      <c r="F832" s="2" t="s">
        <v>45</v>
      </c>
      <c r="G832" t="s">
        <v>31</v>
      </c>
      <c r="H832" t="s">
        <v>24</v>
      </c>
      <c r="I832" t="s">
        <v>20</v>
      </c>
      <c r="J832">
        <v>2</v>
      </c>
      <c r="K832" t="s">
        <v>44</v>
      </c>
      <c r="L832" t="s">
        <v>27</v>
      </c>
      <c r="M832" t="s">
        <v>36</v>
      </c>
      <c r="N832">
        <v>51</v>
      </c>
      <c r="O832" t="s">
        <v>20</v>
      </c>
    </row>
    <row r="833" spans="1:15" x14ac:dyDescent="0.25">
      <c r="A833">
        <v>832</v>
      </c>
      <c r="B833" t="s">
        <v>13</v>
      </c>
      <c r="C833" t="s">
        <v>14</v>
      </c>
      <c r="D833">
        <v>70000</v>
      </c>
      <c r="E833">
        <v>4</v>
      </c>
      <c r="F833" s="2" t="s">
        <v>45</v>
      </c>
      <c r="G833" t="s">
        <v>15</v>
      </c>
      <c r="H833" t="s">
        <v>24</v>
      </c>
      <c r="I833" t="s">
        <v>17</v>
      </c>
      <c r="J833">
        <v>2</v>
      </c>
      <c r="K833" t="s">
        <v>44</v>
      </c>
      <c r="L833" t="s">
        <v>18</v>
      </c>
      <c r="M833" t="s">
        <v>36</v>
      </c>
      <c r="N833">
        <v>43</v>
      </c>
      <c r="O833" t="s">
        <v>17</v>
      </c>
    </row>
    <row r="834" spans="1:15" x14ac:dyDescent="0.25">
      <c r="A834">
        <v>833</v>
      </c>
      <c r="B834" t="s">
        <v>13</v>
      </c>
      <c r="C834" t="s">
        <v>14</v>
      </c>
      <c r="D834">
        <v>60000</v>
      </c>
      <c r="E834">
        <v>0</v>
      </c>
      <c r="F834" s="2" t="s">
        <v>46</v>
      </c>
      <c r="G834" t="s">
        <v>35</v>
      </c>
      <c r="H834" t="s">
        <v>24</v>
      </c>
      <c r="I834" t="s">
        <v>17</v>
      </c>
      <c r="J834">
        <v>0</v>
      </c>
      <c r="K834" t="s">
        <v>43</v>
      </c>
      <c r="L834" t="s">
        <v>18</v>
      </c>
      <c r="M834" t="s">
        <v>36</v>
      </c>
      <c r="N834">
        <v>39</v>
      </c>
      <c r="O834" t="s">
        <v>20</v>
      </c>
    </row>
    <row r="835" spans="1:15" x14ac:dyDescent="0.25">
      <c r="A835">
        <v>834</v>
      </c>
      <c r="B835" t="s">
        <v>26</v>
      </c>
      <c r="C835" t="s">
        <v>14</v>
      </c>
      <c r="D835">
        <v>70000</v>
      </c>
      <c r="E835">
        <v>0</v>
      </c>
      <c r="F835" s="2" t="s">
        <v>46</v>
      </c>
      <c r="G835" t="s">
        <v>15</v>
      </c>
      <c r="H835" t="s">
        <v>24</v>
      </c>
      <c r="I835" t="s">
        <v>20</v>
      </c>
      <c r="J835">
        <v>1</v>
      </c>
      <c r="K835" t="s">
        <v>44</v>
      </c>
      <c r="L835" t="s">
        <v>18</v>
      </c>
      <c r="M835" t="s">
        <v>36</v>
      </c>
      <c r="N835">
        <v>37</v>
      </c>
      <c r="O835" t="s">
        <v>17</v>
      </c>
    </row>
    <row r="836" spans="1:15" x14ac:dyDescent="0.25">
      <c r="A836">
        <v>835</v>
      </c>
      <c r="B836" t="s">
        <v>26</v>
      </c>
      <c r="C836" t="s">
        <v>14</v>
      </c>
      <c r="D836">
        <v>70000</v>
      </c>
      <c r="E836">
        <v>2</v>
      </c>
      <c r="F836" s="2" t="s">
        <v>45</v>
      </c>
      <c r="G836" t="s">
        <v>33</v>
      </c>
      <c r="H836" t="s">
        <v>16</v>
      </c>
      <c r="I836" t="s">
        <v>20</v>
      </c>
      <c r="J836">
        <v>2</v>
      </c>
      <c r="K836" t="s">
        <v>44</v>
      </c>
      <c r="L836" t="s">
        <v>25</v>
      </c>
      <c r="M836" t="s">
        <v>36</v>
      </c>
      <c r="N836">
        <v>54</v>
      </c>
      <c r="O836" t="s">
        <v>17</v>
      </c>
    </row>
    <row r="837" spans="1:15" x14ac:dyDescent="0.25">
      <c r="A837">
        <v>836</v>
      </c>
      <c r="B837" t="s">
        <v>26</v>
      </c>
      <c r="C837" t="s">
        <v>14</v>
      </c>
      <c r="D837">
        <v>60000</v>
      </c>
      <c r="E837">
        <v>3</v>
      </c>
      <c r="F837" s="2" t="s">
        <v>45</v>
      </c>
      <c r="G837" t="s">
        <v>15</v>
      </c>
      <c r="H837" t="s">
        <v>16</v>
      </c>
      <c r="I837" t="s">
        <v>17</v>
      </c>
      <c r="J837">
        <v>0</v>
      </c>
      <c r="K837" t="s">
        <v>43</v>
      </c>
      <c r="L837" t="s">
        <v>25</v>
      </c>
      <c r="M837" t="s">
        <v>36</v>
      </c>
      <c r="N837">
        <v>40</v>
      </c>
      <c r="O837" t="s">
        <v>17</v>
      </c>
    </row>
    <row r="838" spans="1:15" x14ac:dyDescent="0.25">
      <c r="A838">
        <v>837</v>
      </c>
      <c r="B838" t="s">
        <v>13</v>
      </c>
      <c r="C838" t="s">
        <v>14</v>
      </c>
      <c r="D838">
        <v>40000</v>
      </c>
      <c r="E838">
        <v>0</v>
      </c>
      <c r="F838" s="2" t="s">
        <v>46</v>
      </c>
      <c r="G838" t="s">
        <v>22</v>
      </c>
      <c r="H838" t="s">
        <v>16</v>
      </c>
      <c r="I838" t="s">
        <v>17</v>
      </c>
      <c r="J838">
        <v>2</v>
      </c>
      <c r="K838" t="s">
        <v>44</v>
      </c>
      <c r="L838" t="s">
        <v>27</v>
      </c>
      <c r="M838" t="s">
        <v>36</v>
      </c>
      <c r="N838">
        <v>28</v>
      </c>
      <c r="O838" t="s">
        <v>20</v>
      </c>
    </row>
    <row r="839" spans="1:15" x14ac:dyDescent="0.25">
      <c r="A839">
        <v>838</v>
      </c>
      <c r="B839" t="s">
        <v>13</v>
      </c>
      <c r="C839" t="s">
        <v>21</v>
      </c>
      <c r="D839">
        <v>60000</v>
      </c>
      <c r="E839">
        <v>1</v>
      </c>
      <c r="F839" s="2" t="s">
        <v>45</v>
      </c>
      <c r="G839" t="s">
        <v>35</v>
      </c>
      <c r="H839" t="s">
        <v>16</v>
      </c>
      <c r="I839" t="s">
        <v>17</v>
      </c>
      <c r="J839">
        <v>0</v>
      </c>
      <c r="K839" t="s">
        <v>43</v>
      </c>
      <c r="L839" t="s">
        <v>18</v>
      </c>
      <c r="M839" t="s">
        <v>36</v>
      </c>
      <c r="N839">
        <v>33</v>
      </c>
      <c r="O839" t="s">
        <v>20</v>
      </c>
    </row>
    <row r="840" spans="1:15" x14ac:dyDescent="0.25">
      <c r="A840">
        <v>839</v>
      </c>
      <c r="B840" t="s">
        <v>26</v>
      </c>
      <c r="C840" t="s">
        <v>14</v>
      </c>
      <c r="D840">
        <v>80000</v>
      </c>
      <c r="E840">
        <v>3</v>
      </c>
      <c r="F840" s="2" t="s">
        <v>45</v>
      </c>
      <c r="G840" t="s">
        <v>15</v>
      </c>
      <c r="H840" t="s">
        <v>16</v>
      </c>
      <c r="I840" t="s">
        <v>17</v>
      </c>
      <c r="J840">
        <v>2</v>
      </c>
      <c r="K840" t="s">
        <v>44</v>
      </c>
      <c r="L840" t="s">
        <v>25</v>
      </c>
      <c r="M840" t="s">
        <v>36</v>
      </c>
      <c r="N840">
        <v>41</v>
      </c>
      <c r="O840" t="s">
        <v>17</v>
      </c>
    </row>
    <row r="841" spans="1:15" x14ac:dyDescent="0.25">
      <c r="A841">
        <v>840</v>
      </c>
      <c r="B841" t="s">
        <v>26</v>
      </c>
      <c r="C841" t="s">
        <v>14</v>
      </c>
      <c r="D841">
        <v>80000</v>
      </c>
      <c r="E841">
        <v>3</v>
      </c>
      <c r="F841" s="2" t="s">
        <v>45</v>
      </c>
      <c r="G841" t="s">
        <v>35</v>
      </c>
      <c r="H841" t="s">
        <v>24</v>
      </c>
      <c r="I841" t="s">
        <v>17</v>
      </c>
      <c r="J841">
        <v>0</v>
      </c>
      <c r="K841" t="s">
        <v>43</v>
      </c>
      <c r="L841" t="s">
        <v>18</v>
      </c>
      <c r="M841" t="s">
        <v>36</v>
      </c>
      <c r="N841">
        <v>37</v>
      </c>
      <c r="O841" t="s">
        <v>17</v>
      </c>
    </row>
    <row r="842" spans="1:15" x14ac:dyDescent="0.25">
      <c r="A842">
        <v>841</v>
      </c>
      <c r="B842" t="s">
        <v>13</v>
      </c>
      <c r="C842" t="s">
        <v>21</v>
      </c>
      <c r="D842">
        <v>70000</v>
      </c>
      <c r="E842">
        <v>4</v>
      </c>
      <c r="F842" s="2" t="s">
        <v>45</v>
      </c>
      <c r="G842" t="s">
        <v>22</v>
      </c>
      <c r="H842" t="s">
        <v>24</v>
      </c>
      <c r="I842" t="s">
        <v>17</v>
      </c>
      <c r="J842">
        <v>2</v>
      </c>
      <c r="K842" t="s">
        <v>44</v>
      </c>
      <c r="L842" t="s">
        <v>34</v>
      </c>
      <c r="M842" t="s">
        <v>36</v>
      </c>
      <c r="N842">
        <v>53</v>
      </c>
      <c r="O842" t="s">
        <v>20</v>
      </c>
    </row>
    <row r="843" spans="1:15" x14ac:dyDescent="0.25">
      <c r="A843">
        <v>842</v>
      </c>
      <c r="B843" t="s">
        <v>13</v>
      </c>
      <c r="C843" t="s">
        <v>21</v>
      </c>
      <c r="D843">
        <v>120000</v>
      </c>
      <c r="E843">
        <v>2</v>
      </c>
      <c r="F843" s="2" t="s">
        <v>45</v>
      </c>
      <c r="G843" t="s">
        <v>35</v>
      </c>
      <c r="H843" t="s">
        <v>32</v>
      </c>
      <c r="I843" t="s">
        <v>17</v>
      </c>
      <c r="J843">
        <v>3</v>
      </c>
      <c r="K843" t="s">
        <v>44</v>
      </c>
      <c r="L843" t="s">
        <v>27</v>
      </c>
      <c r="M843" t="s">
        <v>36</v>
      </c>
      <c r="N843">
        <v>64</v>
      </c>
      <c r="O843" t="s">
        <v>20</v>
      </c>
    </row>
    <row r="844" spans="1:15" x14ac:dyDescent="0.25">
      <c r="A844">
        <v>843</v>
      </c>
      <c r="B844" t="s">
        <v>13</v>
      </c>
      <c r="C844" t="s">
        <v>14</v>
      </c>
      <c r="D844">
        <v>60000</v>
      </c>
      <c r="E844">
        <v>1</v>
      </c>
      <c r="F844" s="2" t="s">
        <v>45</v>
      </c>
      <c r="G844" t="s">
        <v>22</v>
      </c>
      <c r="H844" t="s">
        <v>16</v>
      </c>
      <c r="I844" t="s">
        <v>17</v>
      </c>
      <c r="J844">
        <v>1</v>
      </c>
      <c r="K844" t="s">
        <v>44</v>
      </c>
      <c r="L844" t="s">
        <v>25</v>
      </c>
      <c r="M844" t="s">
        <v>36</v>
      </c>
      <c r="N844">
        <v>45</v>
      </c>
      <c r="O844" t="s">
        <v>17</v>
      </c>
    </row>
    <row r="845" spans="1:15" x14ac:dyDescent="0.25">
      <c r="A845">
        <v>844</v>
      </c>
      <c r="B845" t="s">
        <v>26</v>
      </c>
      <c r="C845" t="s">
        <v>21</v>
      </c>
      <c r="D845">
        <v>80000</v>
      </c>
      <c r="E845">
        <v>2</v>
      </c>
      <c r="F845" s="2" t="s">
        <v>45</v>
      </c>
      <c r="G845" t="s">
        <v>33</v>
      </c>
      <c r="H845" t="s">
        <v>16</v>
      </c>
      <c r="I845" t="s">
        <v>20</v>
      </c>
      <c r="J845">
        <v>2</v>
      </c>
      <c r="K845" t="s">
        <v>44</v>
      </c>
      <c r="L845" t="s">
        <v>30</v>
      </c>
      <c r="M845" t="s">
        <v>36</v>
      </c>
      <c r="N845">
        <v>52</v>
      </c>
      <c r="O845" t="s">
        <v>20</v>
      </c>
    </row>
    <row r="846" spans="1:15" x14ac:dyDescent="0.25">
      <c r="A846">
        <v>845</v>
      </c>
      <c r="B846" t="s">
        <v>13</v>
      </c>
      <c r="C846" t="s">
        <v>14</v>
      </c>
      <c r="D846">
        <v>40000</v>
      </c>
      <c r="E846">
        <v>5</v>
      </c>
      <c r="F846" s="2" t="s">
        <v>45</v>
      </c>
      <c r="G846" t="s">
        <v>31</v>
      </c>
      <c r="H846" t="s">
        <v>24</v>
      </c>
      <c r="I846" t="s">
        <v>17</v>
      </c>
      <c r="J846">
        <v>2</v>
      </c>
      <c r="K846" t="s">
        <v>44</v>
      </c>
      <c r="L846" t="s">
        <v>34</v>
      </c>
      <c r="M846" t="s">
        <v>36</v>
      </c>
      <c r="N846">
        <v>60</v>
      </c>
      <c r="O846" t="s">
        <v>20</v>
      </c>
    </row>
    <row r="847" spans="1:15" x14ac:dyDescent="0.25">
      <c r="A847">
        <v>846</v>
      </c>
      <c r="B847" t="s">
        <v>26</v>
      </c>
      <c r="C847" t="s">
        <v>14</v>
      </c>
      <c r="D847">
        <v>20000</v>
      </c>
      <c r="E847">
        <v>3</v>
      </c>
      <c r="F847" s="2" t="s">
        <v>45</v>
      </c>
      <c r="G847" t="s">
        <v>33</v>
      </c>
      <c r="H847" t="s">
        <v>23</v>
      </c>
      <c r="I847" t="s">
        <v>17</v>
      </c>
      <c r="J847">
        <v>2</v>
      </c>
      <c r="K847" t="s">
        <v>44</v>
      </c>
      <c r="L847" t="s">
        <v>30</v>
      </c>
      <c r="M847" t="s">
        <v>36</v>
      </c>
      <c r="N847">
        <v>50</v>
      </c>
      <c r="O847" t="s">
        <v>20</v>
      </c>
    </row>
    <row r="848" spans="1:15" x14ac:dyDescent="0.25">
      <c r="A848">
        <v>847</v>
      </c>
      <c r="B848" t="s">
        <v>13</v>
      </c>
      <c r="C848" t="s">
        <v>14</v>
      </c>
      <c r="D848">
        <v>70000</v>
      </c>
      <c r="E848">
        <v>4</v>
      </c>
      <c r="F848" s="2" t="s">
        <v>45</v>
      </c>
      <c r="G848" t="s">
        <v>22</v>
      </c>
      <c r="H848" t="s">
        <v>24</v>
      </c>
      <c r="I848" t="s">
        <v>20</v>
      </c>
      <c r="J848">
        <v>1</v>
      </c>
      <c r="K848" t="s">
        <v>44</v>
      </c>
      <c r="L848" t="s">
        <v>30</v>
      </c>
      <c r="M848" t="s">
        <v>36</v>
      </c>
      <c r="N848">
        <v>56</v>
      </c>
      <c r="O848" t="s">
        <v>20</v>
      </c>
    </row>
    <row r="849" spans="1:15" x14ac:dyDescent="0.25">
      <c r="A849">
        <v>848</v>
      </c>
      <c r="B849" t="s">
        <v>26</v>
      </c>
      <c r="C849" t="s">
        <v>14</v>
      </c>
      <c r="D849">
        <v>40000</v>
      </c>
      <c r="E849">
        <v>0</v>
      </c>
      <c r="F849" s="2" t="s">
        <v>46</v>
      </c>
      <c r="G849" t="s">
        <v>33</v>
      </c>
      <c r="H849" t="s">
        <v>23</v>
      </c>
      <c r="I849" t="s">
        <v>17</v>
      </c>
      <c r="J849">
        <v>2</v>
      </c>
      <c r="K849" t="s">
        <v>44</v>
      </c>
      <c r="L849" t="s">
        <v>27</v>
      </c>
      <c r="M849" t="s">
        <v>36</v>
      </c>
      <c r="N849">
        <v>29</v>
      </c>
      <c r="O849" t="s">
        <v>20</v>
      </c>
    </row>
    <row r="850" spans="1:15" x14ac:dyDescent="0.25">
      <c r="A850">
        <v>849</v>
      </c>
      <c r="B850" t="s">
        <v>26</v>
      </c>
      <c r="C850" t="s">
        <v>21</v>
      </c>
      <c r="D850">
        <v>130000</v>
      </c>
      <c r="E850">
        <v>0</v>
      </c>
      <c r="F850" s="2" t="s">
        <v>46</v>
      </c>
      <c r="G850" t="s">
        <v>35</v>
      </c>
      <c r="H850" t="s">
        <v>32</v>
      </c>
      <c r="I850" t="s">
        <v>20</v>
      </c>
      <c r="J850">
        <v>2</v>
      </c>
      <c r="K850" t="s">
        <v>44</v>
      </c>
      <c r="L850" t="s">
        <v>18</v>
      </c>
      <c r="M850" t="s">
        <v>36</v>
      </c>
      <c r="N850">
        <v>38</v>
      </c>
      <c r="O850" t="s">
        <v>17</v>
      </c>
    </row>
    <row r="851" spans="1:15" x14ac:dyDescent="0.25">
      <c r="A851">
        <v>850</v>
      </c>
      <c r="B851" t="s">
        <v>13</v>
      </c>
      <c r="C851" t="s">
        <v>14</v>
      </c>
      <c r="D851">
        <v>40000</v>
      </c>
      <c r="E851">
        <v>5</v>
      </c>
      <c r="F851" s="2" t="s">
        <v>45</v>
      </c>
      <c r="G851" t="s">
        <v>31</v>
      </c>
      <c r="H851" t="s">
        <v>24</v>
      </c>
      <c r="I851" t="s">
        <v>20</v>
      </c>
      <c r="J851">
        <v>2</v>
      </c>
      <c r="K851" t="s">
        <v>44</v>
      </c>
      <c r="L851" t="s">
        <v>25</v>
      </c>
      <c r="M851" t="s">
        <v>36</v>
      </c>
      <c r="N851">
        <v>60</v>
      </c>
      <c r="O851" t="s">
        <v>20</v>
      </c>
    </row>
    <row r="852" spans="1:15" x14ac:dyDescent="0.25">
      <c r="A852">
        <v>851</v>
      </c>
      <c r="B852" t="s">
        <v>26</v>
      </c>
      <c r="C852" t="s">
        <v>14</v>
      </c>
      <c r="D852">
        <v>130000</v>
      </c>
      <c r="E852">
        <v>2</v>
      </c>
      <c r="F852" s="2" t="s">
        <v>45</v>
      </c>
      <c r="G852" t="s">
        <v>15</v>
      </c>
      <c r="H852" t="s">
        <v>32</v>
      </c>
      <c r="I852" t="s">
        <v>20</v>
      </c>
      <c r="J852">
        <v>4</v>
      </c>
      <c r="K852" t="s">
        <v>44</v>
      </c>
      <c r="L852" t="s">
        <v>18</v>
      </c>
      <c r="M852" t="s">
        <v>36</v>
      </c>
      <c r="N852">
        <v>67</v>
      </c>
      <c r="O852" t="s">
        <v>20</v>
      </c>
    </row>
    <row r="853" spans="1:15" x14ac:dyDescent="0.25">
      <c r="A853">
        <v>852</v>
      </c>
      <c r="B853" t="s">
        <v>13</v>
      </c>
      <c r="C853" t="s">
        <v>21</v>
      </c>
      <c r="D853">
        <v>60000</v>
      </c>
      <c r="E853">
        <v>0</v>
      </c>
      <c r="F853" s="2" t="s">
        <v>46</v>
      </c>
      <c r="G853" t="s">
        <v>22</v>
      </c>
      <c r="H853" t="s">
        <v>16</v>
      </c>
      <c r="I853" t="s">
        <v>17</v>
      </c>
      <c r="J853">
        <v>1</v>
      </c>
      <c r="K853" t="s">
        <v>44</v>
      </c>
      <c r="L853" t="s">
        <v>27</v>
      </c>
      <c r="M853" t="s">
        <v>36</v>
      </c>
      <c r="N853">
        <v>32</v>
      </c>
      <c r="O853" t="s">
        <v>17</v>
      </c>
    </row>
    <row r="854" spans="1:15" x14ac:dyDescent="0.25">
      <c r="A854">
        <v>853</v>
      </c>
      <c r="B854" t="s">
        <v>26</v>
      </c>
      <c r="C854" t="s">
        <v>21</v>
      </c>
      <c r="D854">
        <v>50000</v>
      </c>
      <c r="E854">
        <v>2</v>
      </c>
      <c r="F854" s="2" t="s">
        <v>45</v>
      </c>
      <c r="G854" t="s">
        <v>15</v>
      </c>
      <c r="H854" t="s">
        <v>16</v>
      </c>
      <c r="I854" t="s">
        <v>20</v>
      </c>
      <c r="J854">
        <v>1</v>
      </c>
      <c r="K854" t="s">
        <v>44</v>
      </c>
      <c r="L854" t="s">
        <v>18</v>
      </c>
      <c r="M854" t="s">
        <v>36</v>
      </c>
      <c r="N854">
        <v>39</v>
      </c>
      <c r="O854" t="s">
        <v>17</v>
      </c>
    </row>
    <row r="855" spans="1:15" x14ac:dyDescent="0.25">
      <c r="A855">
        <v>854</v>
      </c>
      <c r="B855" t="s">
        <v>26</v>
      </c>
      <c r="C855" t="s">
        <v>21</v>
      </c>
      <c r="D855">
        <v>60000</v>
      </c>
      <c r="E855">
        <v>1</v>
      </c>
      <c r="F855" s="2" t="s">
        <v>45</v>
      </c>
      <c r="G855" t="s">
        <v>35</v>
      </c>
      <c r="H855" t="s">
        <v>24</v>
      </c>
      <c r="I855" t="s">
        <v>17</v>
      </c>
      <c r="J855">
        <v>0</v>
      </c>
      <c r="K855" t="s">
        <v>43</v>
      </c>
      <c r="L855" t="s">
        <v>25</v>
      </c>
      <c r="M855" t="s">
        <v>36</v>
      </c>
      <c r="N855">
        <v>35</v>
      </c>
      <c r="O855" t="s">
        <v>17</v>
      </c>
    </row>
    <row r="856" spans="1:15" x14ac:dyDescent="0.25">
      <c r="A856">
        <v>855</v>
      </c>
      <c r="B856" t="s">
        <v>13</v>
      </c>
      <c r="C856" t="s">
        <v>14</v>
      </c>
      <c r="D856">
        <v>60000</v>
      </c>
      <c r="E856">
        <v>0</v>
      </c>
      <c r="F856" s="2" t="s">
        <v>46</v>
      </c>
      <c r="G856" t="s">
        <v>22</v>
      </c>
      <c r="H856" t="s">
        <v>24</v>
      </c>
      <c r="I856" t="s">
        <v>17</v>
      </c>
      <c r="J856">
        <v>2</v>
      </c>
      <c r="K856" t="s">
        <v>44</v>
      </c>
      <c r="L856" t="s">
        <v>27</v>
      </c>
      <c r="M856" t="s">
        <v>36</v>
      </c>
      <c r="N856">
        <v>32</v>
      </c>
      <c r="O856" t="s">
        <v>20</v>
      </c>
    </row>
    <row r="857" spans="1:15" x14ac:dyDescent="0.25">
      <c r="A857">
        <v>856</v>
      </c>
      <c r="B857" t="s">
        <v>26</v>
      </c>
      <c r="C857" t="s">
        <v>14</v>
      </c>
      <c r="D857">
        <v>30000</v>
      </c>
      <c r="E857">
        <v>0</v>
      </c>
      <c r="F857" s="2" t="s">
        <v>46</v>
      </c>
      <c r="G857" t="s">
        <v>22</v>
      </c>
      <c r="H857" t="s">
        <v>16</v>
      </c>
      <c r="I857" t="s">
        <v>20</v>
      </c>
      <c r="J857">
        <v>1</v>
      </c>
      <c r="K857" t="s">
        <v>44</v>
      </c>
      <c r="L857" t="s">
        <v>30</v>
      </c>
      <c r="M857" t="s">
        <v>36</v>
      </c>
      <c r="N857">
        <v>31</v>
      </c>
      <c r="O857" t="s">
        <v>20</v>
      </c>
    </row>
    <row r="858" spans="1:15" x14ac:dyDescent="0.25">
      <c r="A858">
        <v>857</v>
      </c>
      <c r="B858" t="s">
        <v>26</v>
      </c>
      <c r="C858" t="s">
        <v>21</v>
      </c>
      <c r="D858">
        <v>40000</v>
      </c>
      <c r="E858">
        <v>0</v>
      </c>
      <c r="F858" s="2" t="s">
        <v>46</v>
      </c>
      <c r="G858" t="s">
        <v>22</v>
      </c>
      <c r="H858" t="s">
        <v>16</v>
      </c>
      <c r="I858" t="s">
        <v>17</v>
      </c>
      <c r="J858">
        <v>1</v>
      </c>
      <c r="K858" t="s">
        <v>44</v>
      </c>
      <c r="L858" t="s">
        <v>27</v>
      </c>
      <c r="M858" t="s">
        <v>36</v>
      </c>
      <c r="N858">
        <v>27</v>
      </c>
      <c r="O858" t="s">
        <v>20</v>
      </c>
    </row>
    <row r="859" spans="1:15" x14ac:dyDescent="0.25">
      <c r="A859">
        <v>858</v>
      </c>
      <c r="B859" t="s">
        <v>13</v>
      </c>
      <c r="C859" t="s">
        <v>14</v>
      </c>
      <c r="D859">
        <v>60000</v>
      </c>
      <c r="E859">
        <v>1</v>
      </c>
      <c r="F859" s="2" t="s">
        <v>45</v>
      </c>
      <c r="G859" t="s">
        <v>15</v>
      </c>
      <c r="H859" t="s">
        <v>24</v>
      </c>
      <c r="I859" t="s">
        <v>17</v>
      </c>
      <c r="J859">
        <v>1</v>
      </c>
      <c r="K859" t="s">
        <v>44</v>
      </c>
      <c r="L859" t="s">
        <v>18</v>
      </c>
      <c r="M859" t="s">
        <v>36</v>
      </c>
      <c r="N859">
        <v>47</v>
      </c>
      <c r="O859" t="s">
        <v>17</v>
      </c>
    </row>
    <row r="860" spans="1:15" x14ac:dyDescent="0.25">
      <c r="A860">
        <v>859</v>
      </c>
      <c r="B860" t="s">
        <v>13</v>
      </c>
      <c r="C860" t="s">
        <v>21</v>
      </c>
      <c r="D860">
        <v>40000</v>
      </c>
      <c r="E860">
        <v>0</v>
      </c>
      <c r="F860" s="2" t="s">
        <v>46</v>
      </c>
      <c r="G860" t="s">
        <v>15</v>
      </c>
      <c r="H860" t="s">
        <v>24</v>
      </c>
      <c r="I860" t="s">
        <v>20</v>
      </c>
      <c r="J860">
        <v>1</v>
      </c>
      <c r="K860" t="s">
        <v>44</v>
      </c>
      <c r="L860" t="s">
        <v>18</v>
      </c>
      <c r="M860" t="s">
        <v>36</v>
      </c>
      <c r="N860">
        <v>42</v>
      </c>
      <c r="O860" t="s">
        <v>20</v>
      </c>
    </row>
    <row r="861" spans="1:15" x14ac:dyDescent="0.25">
      <c r="A861">
        <v>860</v>
      </c>
      <c r="B861" t="s">
        <v>13</v>
      </c>
      <c r="C861" t="s">
        <v>21</v>
      </c>
      <c r="D861">
        <v>30000</v>
      </c>
      <c r="E861">
        <v>2</v>
      </c>
      <c r="F861" s="2" t="s">
        <v>45</v>
      </c>
      <c r="G861" t="s">
        <v>31</v>
      </c>
      <c r="H861" t="s">
        <v>16</v>
      </c>
      <c r="I861" t="s">
        <v>17</v>
      </c>
      <c r="J861">
        <v>2</v>
      </c>
      <c r="K861" t="s">
        <v>44</v>
      </c>
      <c r="L861" t="s">
        <v>30</v>
      </c>
      <c r="M861" t="s">
        <v>36</v>
      </c>
      <c r="N861">
        <v>49</v>
      </c>
      <c r="O861" t="s">
        <v>20</v>
      </c>
    </row>
    <row r="862" spans="1:15" x14ac:dyDescent="0.25">
      <c r="A862">
        <v>861</v>
      </c>
      <c r="B862" t="s">
        <v>26</v>
      </c>
      <c r="C862" t="s">
        <v>21</v>
      </c>
      <c r="D862">
        <v>30000</v>
      </c>
      <c r="E862">
        <v>0</v>
      </c>
      <c r="F862" s="2" t="s">
        <v>46</v>
      </c>
      <c r="G862" t="s">
        <v>22</v>
      </c>
      <c r="H862" t="s">
        <v>16</v>
      </c>
      <c r="I862" t="s">
        <v>17</v>
      </c>
      <c r="J862">
        <v>1</v>
      </c>
      <c r="K862" t="s">
        <v>44</v>
      </c>
      <c r="L862" t="s">
        <v>27</v>
      </c>
      <c r="M862" t="s">
        <v>36</v>
      </c>
      <c r="N862">
        <v>32</v>
      </c>
      <c r="O862" t="s">
        <v>20</v>
      </c>
    </row>
    <row r="863" spans="1:15" x14ac:dyDescent="0.25">
      <c r="A863">
        <v>862</v>
      </c>
      <c r="B863" t="s">
        <v>13</v>
      </c>
      <c r="C863" t="s">
        <v>14</v>
      </c>
      <c r="D863">
        <v>20000</v>
      </c>
      <c r="E863">
        <v>2</v>
      </c>
      <c r="F863" s="2" t="s">
        <v>45</v>
      </c>
      <c r="G863" t="s">
        <v>31</v>
      </c>
      <c r="H863" t="s">
        <v>29</v>
      </c>
      <c r="I863" t="s">
        <v>20</v>
      </c>
      <c r="J863">
        <v>2</v>
      </c>
      <c r="K863" t="s">
        <v>44</v>
      </c>
      <c r="L863" t="s">
        <v>30</v>
      </c>
      <c r="M863" t="s">
        <v>36</v>
      </c>
      <c r="N863">
        <v>53</v>
      </c>
      <c r="O863" t="s">
        <v>17</v>
      </c>
    </row>
    <row r="864" spans="1:15" x14ac:dyDescent="0.25">
      <c r="A864">
        <v>863</v>
      </c>
      <c r="B864" t="s">
        <v>13</v>
      </c>
      <c r="C864" t="s">
        <v>21</v>
      </c>
      <c r="D864">
        <v>50000</v>
      </c>
      <c r="E864">
        <v>0</v>
      </c>
      <c r="F864" s="2" t="s">
        <v>46</v>
      </c>
      <c r="G864" t="s">
        <v>35</v>
      </c>
      <c r="H864" t="s">
        <v>16</v>
      </c>
      <c r="I864" t="s">
        <v>17</v>
      </c>
      <c r="J864">
        <v>0</v>
      </c>
      <c r="K864" t="s">
        <v>43</v>
      </c>
      <c r="L864" t="s">
        <v>30</v>
      </c>
      <c r="M864" t="s">
        <v>36</v>
      </c>
      <c r="N864">
        <v>32</v>
      </c>
      <c r="O864" t="s">
        <v>17</v>
      </c>
    </row>
    <row r="865" spans="1:15" x14ac:dyDescent="0.25">
      <c r="A865">
        <v>864</v>
      </c>
      <c r="B865" t="s">
        <v>26</v>
      </c>
      <c r="C865" t="s">
        <v>21</v>
      </c>
      <c r="D865">
        <v>80000</v>
      </c>
      <c r="E865">
        <v>0</v>
      </c>
      <c r="F865" s="2" t="s">
        <v>46</v>
      </c>
      <c r="G865" t="s">
        <v>15</v>
      </c>
      <c r="H865" t="s">
        <v>32</v>
      </c>
      <c r="I865" t="s">
        <v>20</v>
      </c>
      <c r="J865">
        <v>1</v>
      </c>
      <c r="K865" t="s">
        <v>44</v>
      </c>
      <c r="L865" t="s">
        <v>18</v>
      </c>
      <c r="M865" t="s">
        <v>36</v>
      </c>
      <c r="N865">
        <v>38</v>
      </c>
      <c r="O865" t="s">
        <v>17</v>
      </c>
    </row>
    <row r="866" spans="1:15" x14ac:dyDescent="0.25">
      <c r="A866">
        <v>865</v>
      </c>
      <c r="B866" t="s">
        <v>26</v>
      </c>
      <c r="C866" t="s">
        <v>21</v>
      </c>
      <c r="D866">
        <v>40000</v>
      </c>
      <c r="E866">
        <v>0</v>
      </c>
      <c r="F866" s="2" t="s">
        <v>46</v>
      </c>
      <c r="G866" t="s">
        <v>31</v>
      </c>
      <c r="H866" t="s">
        <v>16</v>
      </c>
      <c r="I866" t="s">
        <v>17</v>
      </c>
      <c r="J866">
        <v>2</v>
      </c>
      <c r="K866" t="s">
        <v>44</v>
      </c>
      <c r="L866" t="s">
        <v>27</v>
      </c>
      <c r="M866" t="s">
        <v>36</v>
      </c>
      <c r="N866">
        <v>31</v>
      </c>
      <c r="O866" t="s">
        <v>20</v>
      </c>
    </row>
    <row r="867" spans="1:15" x14ac:dyDescent="0.25">
      <c r="A867">
        <v>866</v>
      </c>
      <c r="B867" t="s">
        <v>26</v>
      </c>
      <c r="C867" t="s">
        <v>14</v>
      </c>
      <c r="D867">
        <v>80000</v>
      </c>
      <c r="E867">
        <v>0</v>
      </c>
      <c r="F867" s="2" t="s">
        <v>46</v>
      </c>
      <c r="G867" t="s">
        <v>15</v>
      </c>
      <c r="H867" t="s">
        <v>32</v>
      </c>
      <c r="I867" t="s">
        <v>20</v>
      </c>
      <c r="J867">
        <v>1</v>
      </c>
      <c r="K867" t="s">
        <v>44</v>
      </c>
      <c r="L867" t="s">
        <v>18</v>
      </c>
      <c r="M867" t="s">
        <v>36</v>
      </c>
      <c r="N867">
        <v>38</v>
      </c>
      <c r="O867" t="s">
        <v>17</v>
      </c>
    </row>
    <row r="868" spans="1:15" x14ac:dyDescent="0.25">
      <c r="A868">
        <v>867</v>
      </c>
      <c r="B868" t="s">
        <v>13</v>
      </c>
      <c r="C868" t="s">
        <v>21</v>
      </c>
      <c r="D868">
        <v>60000</v>
      </c>
      <c r="E868">
        <v>2</v>
      </c>
      <c r="F868" s="2" t="s">
        <v>45</v>
      </c>
      <c r="G868" t="s">
        <v>31</v>
      </c>
      <c r="H868" t="s">
        <v>24</v>
      </c>
      <c r="I868" t="s">
        <v>17</v>
      </c>
      <c r="J868">
        <v>2</v>
      </c>
      <c r="K868" t="s">
        <v>44</v>
      </c>
      <c r="L868" t="s">
        <v>34</v>
      </c>
      <c r="M868" t="s">
        <v>36</v>
      </c>
      <c r="N868">
        <v>55</v>
      </c>
      <c r="O868" t="s">
        <v>20</v>
      </c>
    </row>
    <row r="869" spans="1:15" x14ac:dyDescent="0.25">
      <c r="A869">
        <v>868</v>
      </c>
      <c r="B869" t="s">
        <v>13</v>
      </c>
      <c r="C869" t="s">
        <v>21</v>
      </c>
      <c r="D869">
        <v>70000</v>
      </c>
      <c r="E869">
        <v>3</v>
      </c>
      <c r="F869" s="2" t="s">
        <v>45</v>
      </c>
      <c r="G869" t="s">
        <v>22</v>
      </c>
      <c r="H869" t="s">
        <v>24</v>
      </c>
      <c r="I869" t="s">
        <v>17</v>
      </c>
      <c r="J869">
        <v>1</v>
      </c>
      <c r="K869" t="s">
        <v>44</v>
      </c>
      <c r="L869" t="s">
        <v>27</v>
      </c>
      <c r="M869" t="s">
        <v>36</v>
      </c>
      <c r="N869">
        <v>49</v>
      </c>
      <c r="O869" t="s">
        <v>20</v>
      </c>
    </row>
    <row r="870" spans="1:15" x14ac:dyDescent="0.25">
      <c r="A870">
        <v>869</v>
      </c>
      <c r="B870" t="s">
        <v>26</v>
      </c>
      <c r="C870" t="s">
        <v>21</v>
      </c>
      <c r="D870">
        <v>30000</v>
      </c>
      <c r="E870">
        <v>5</v>
      </c>
      <c r="F870" s="2" t="s">
        <v>45</v>
      </c>
      <c r="G870" t="s">
        <v>33</v>
      </c>
      <c r="H870" t="s">
        <v>16</v>
      </c>
      <c r="I870" t="s">
        <v>17</v>
      </c>
      <c r="J870">
        <v>3</v>
      </c>
      <c r="K870" t="s">
        <v>44</v>
      </c>
      <c r="L870" t="s">
        <v>34</v>
      </c>
      <c r="M870" t="s">
        <v>36</v>
      </c>
      <c r="N870">
        <v>60</v>
      </c>
      <c r="O870" t="s">
        <v>17</v>
      </c>
    </row>
    <row r="871" spans="1:15" x14ac:dyDescent="0.25">
      <c r="A871">
        <v>870</v>
      </c>
      <c r="B871" t="s">
        <v>26</v>
      </c>
      <c r="C871" t="s">
        <v>14</v>
      </c>
      <c r="D871">
        <v>110000</v>
      </c>
      <c r="E871">
        <v>3</v>
      </c>
      <c r="F871" s="2" t="s">
        <v>45</v>
      </c>
      <c r="G871" t="s">
        <v>15</v>
      </c>
      <c r="H871" t="s">
        <v>32</v>
      </c>
      <c r="I871" t="s">
        <v>20</v>
      </c>
      <c r="J871">
        <v>4</v>
      </c>
      <c r="K871" t="s">
        <v>44</v>
      </c>
      <c r="L871" t="s">
        <v>30</v>
      </c>
      <c r="M871" t="s">
        <v>36</v>
      </c>
      <c r="N871">
        <v>42</v>
      </c>
      <c r="O871" t="s">
        <v>20</v>
      </c>
    </row>
    <row r="872" spans="1:15" x14ac:dyDescent="0.25">
      <c r="A872">
        <v>871</v>
      </c>
      <c r="B872" t="s">
        <v>13</v>
      </c>
      <c r="C872" t="s">
        <v>21</v>
      </c>
      <c r="D872">
        <v>60000</v>
      </c>
      <c r="E872">
        <v>1</v>
      </c>
      <c r="F872" s="2" t="s">
        <v>45</v>
      </c>
      <c r="G872" t="s">
        <v>22</v>
      </c>
      <c r="H872" t="s">
        <v>16</v>
      </c>
      <c r="I872" t="s">
        <v>17</v>
      </c>
      <c r="J872">
        <v>1</v>
      </c>
      <c r="K872" t="s">
        <v>44</v>
      </c>
      <c r="L872" t="s">
        <v>18</v>
      </c>
      <c r="M872" t="s">
        <v>36</v>
      </c>
      <c r="N872">
        <v>46</v>
      </c>
      <c r="O872" t="s">
        <v>20</v>
      </c>
    </row>
    <row r="873" spans="1:15" x14ac:dyDescent="0.25">
      <c r="A873">
        <v>872</v>
      </c>
      <c r="B873" t="s">
        <v>13</v>
      </c>
      <c r="C873" t="s">
        <v>21</v>
      </c>
      <c r="D873">
        <v>60000</v>
      </c>
      <c r="E873">
        <v>2</v>
      </c>
      <c r="F873" s="2" t="s">
        <v>45</v>
      </c>
      <c r="G873" t="s">
        <v>31</v>
      </c>
      <c r="H873" t="s">
        <v>24</v>
      </c>
      <c r="I873" t="s">
        <v>17</v>
      </c>
      <c r="J873">
        <v>2</v>
      </c>
      <c r="K873" t="s">
        <v>44</v>
      </c>
      <c r="L873" t="s">
        <v>34</v>
      </c>
      <c r="M873" t="s">
        <v>36</v>
      </c>
      <c r="N873">
        <v>55</v>
      </c>
      <c r="O873" t="s">
        <v>20</v>
      </c>
    </row>
    <row r="874" spans="1:15" x14ac:dyDescent="0.25">
      <c r="A874">
        <v>873</v>
      </c>
      <c r="B874" t="s">
        <v>26</v>
      </c>
      <c r="C874" t="s">
        <v>14</v>
      </c>
      <c r="D874">
        <v>70000</v>
      </c>
      <c r="E874">
        <v>3</v>
      </c>
      <c r="F874" s="2" t="s">
        <v>45</v>
      </c>
      <c r="G874" t="s">
        <v>35</v>
      </c>
      <c r="H874" t="s">
        <v>32</v>
      </c>
      <c r="I874" t="s">
        <v>17</v>
      </c>
      <c r="J874">
        <v>2</v>
      </c>
      <c r="K874" t="s">
        <v>44</v>
      </c>
      <c r="L874" t="s">
        <v>27</v>
      </c>
      <c r="M874" t="s">
        <v>36</v>
      </c>
      <c r="N874">
        <v>53</v>
      </c>
      <c r="O874" t="s">
        <v>17</v>
      </c>
    </row>
    <row r="875" spans="1:15" x14ac:dyDescent="0.25">
      <c r="A875">
        <v>874</v>
      </c>
      <c r="B875" t="s">
        <v>13</v>
      </c>
      <c r="C875" t="s">
        <v>21</v>
      </c>
      <c r="D875">
        <v>50000</v>
      </c>
      <c r="E875">
        <v>3</v>
      </c>
      <c r="F875" s="2" t="s">
        <v>45</v>
      </c>
      <c r="G875" t="s">
        <v>15</v>
      </c>
      <c r="H875" t="s">
        <v>16</v>
      </c>
      <c r="I875" t="s">
        <v>17</v>
      </c>
      <c r="J875">
        <v>2</v>
      </c>
      <c r="K875" t="s">
        <v>44</v>
      </c>
      <c r="L875" t="s">
        <v>25</v>
      </c>
      <c r="M875" t="s">
        <v>36</v>
      </c>
      <c r="N875">
        <v>40</v>
      </c>
      <c r="O875" t="s">
        <v>20</v>
      </c>
    </row>
    <row r="876" spans="1:15" x14ac:dyDescent="0.25">
      <c r="A876">
        <v>875</v>
      </c>
      <c r="B876" t="s">
        <v>13</v>
      </c>
      <c r="C876" t="s">
        <v>14</v>
      </c>
      <c r="D876">
        <v>30000</v>
      </c>
      <c r="E876">
        <v>1</v>
      </c>
      <c r="F876" s="2" t="s">
        <v>45</v>
      </c>
      <c r="G876" t="s">
        <v>15</v>
      </c>
      <c r="H876" t="s">
        <v>16</v>
      </c>
      <c r="I876" t="s">
        <v>17</v>
      </c>
      <c r="J876">
        <v>1</v>
      </c>
      <c r="K876" t="s">
        <v>44</v>
      </c>
      <c r="L876" t="s">
        <v>27</v>
      </c>
      <c r="M876" t="s">
        <v>36</v>
      </c>
      <c r="N876">
        <v>53</v>
      </c>
      <c r="O876" t="s">
        <v>17</v>
      </c>
    </row>
    <row r="877" spans="1:15" x14ac:dyDescent="0.25">
      <c r="A877">
        <v>876</v>
      </c>
      <c r="B877" t="s">
        <v>26</v>
      </c>
      <c r="C877" t="s">
        <v>14</v>
      </c>
      <c r="D877">
        <v>70000</v>
      </c>
      <c r="E877">
        <v>2</v>
      </c>
      <c r="F877" s="2" t="s">
        <v>45</v>
      </c>
      <c r="G877" t="s">
        <v>15</v>
      </c>
      <c r="H877" t="s">
        <v>16</v>
      </c>
      <c r="I877" t="s">
        <v>17</v>
      </c>
      <c r="J877">
        <v>0</v>
      </c>
      <c r="K877" t="s">
        <v>43</v>
      </c>
      <c r="L877" t="s">
        <v>25</v>
      </c>
      <c r="M877" t="s">
        <v>36</v>
      </c>
      <c r="N877">
        <v>38</v>
      </c>
      <c r="O877" t="s">
        <v>17</v>
      </c>
    </row>
    <row r="878" spans="1:15" x14ac:dyDescent="0.25">
      <c r="A878">
        <v>877</v>
      </c>
      <c r="B878" t="s">
        <v>26</v>
      </c>
      <c r="C878" t="s">
        <v>21</v>
      </c>
      <c r="D878">
        <v>30000</v>
      </c>
      <c r="E878">
        <v>0</v>
      </c>
      <c r="F878" s="2" t="s">
        <v>46</v>
      </c>
      <c r="G878" t="s">
        <v>33</v>
      </c>
      <c r="H878" t="s">
        <v>23</v>
      </c>
      <c r="I878" t="s">
        <v>20</v>
      </c>
      <c r="J878">
        <v>2</v>
      </c>
      <c r="K878" t="s">
        <v>44</v>
      </c>
      <c r="L878" t="s">
        <v>18</v>
      </c>
      <c r="M878" t="s">
        <v>36</v>
      </c>
      <c r="N878">
        <v>26</v>
      </c>
      <c r="O878" t="s">
        <v>20</v>
      </c>
    </row>
    <row r="879" spans="1:15" x14ac:dyDescent="0.25">
      <c r="A879">
        <v>878</v>
      </c>
      <c r="B879" t="s">
        <v>13</v>
      </c>
      <c r="C879" t="s">
        <v>21</v>
      </c>
      <c r="D879">
        <v>70000</v>
      </c>
      <c r="E879">
        <v>5</v>
      </c>
      <c r="F879" s="2" t="s">
        <v>45</v>
      </c>
      <c r="G879" t="s">
        <v>15</v>
      </c>
      <c r="H879" t="s">
        <v>32</v>
      </c>
      <c r="I879" t="s">
        <v>17</v>
      </c>
      <c r="J879">
        <v>2</v>
      </c>
      <c r="K879" t="s">
        <v>44</v>
      </c>
      <c r="L879" t="s">
        <v>25</v>
      </c>
      <c r="M879" t="s">
        <v>36</v>
      </c>
      <c r="N879">
        <v>61</v>
      </c>
      <c r="O879" t="s">
        <v>20</v>
      </c>
    </row>
    <row r="880" spans="1:15" x14ac:dyDescent="0.25">
      <c r="A880">
        <v>879</v>
      </c>
      <c r="B880" t="s">
        <v>13</v>
      </c>
      <c r="C880" t="s">
        <v>21</v>
      </c>
      <c r="D880">
        <v>50000</v>
      </c>
      <c r="E880">
        <v>2</v>
      </c>
      <c r="F880" s="2" t="s">
        <v>45</v>
      </c>
      <c r="G880" t="s">
        <v>35</v>
      </c>
      <c r="H880" t="s">
        <v>32</v>
      </c>
      <c r="I880" t="s">
        <v>17</v>
      </c>
      <c r="J880">
        <v>2</v>
      </c>
      <c r="K880" t="s">
        <v>44</v>
      </c>
      <c r="L880" t="s">
        <v>27</v>
      </c>
      <c r="M880" t="s">
        <v>36</v>
      </c>
      <c r="N880">
        <v>71</v>
      </c>
      <c r="O880" t="s">
        <v>20</v>
      </c>
    </row>
    <row r="881" spans="1:15" x14ac:dyDescent="0.25">
      <c r="A881">
        <v>880</v>
      </c>
      <c r="B881" t="s">
        <v>13</v>
      </c>
      <c r="C881" t="s">
        <v>21</v>
      </c>
      <c r="D881">
        <v>90000</v>
      </c>
      <c r="E881">
        <v>4</v>
      </c>
      <c r="F881" s="2" t="s">
        <v>45</v>
      </c>
      <c r="G881" t="s">
        <v>31</v>
      </c>
      <c r="H881" t="s">
        <v>24</v>
      </c>
      <c r="I881" t="s">
        <v>17</v>
      </c>
      <c r="J881">
        <v>2</v>
      </c>
      <c r="K881" t="s">
        <v>44</v>
      </c>
      <c r="L881" t="s">
        <v>30</v>
      </c>
      <c r="M881" t="s">
        <v>36</v>
      </c>
      <c r="N881">
        <v>45</v>
      </c>
      <c r="O881" t="s">
        <v>20</v>
      </c>
    </row>
    <row r="882" spans="1:15" x14ac:dyDescent="0.25">
      <c r="A882">
        <v>881</v>
      </c>
      <c r="B882" t="s">
        <v>13</v>
      </c>
      <c r="C882" t="s">
        <v>21</v>
      </c>
      <c r="D882">
        <v>80000</v>
      </c>
      <c r="E882">
        <v>2</v>
      </c>
      <c r="F882" s="2" t="s">
        <v>45</v>
      </c>
      <c r="G882" t="s">
        <v>35</v>
      </c>
      <c r="H882" t="s">
        <v>24</v>
      </c>
      <c r="I882" t="s">
        <v>17</v>
      </c>
      <c r="J882">
        <v>0</v>
      </c>
      <c r="K882" t="s">
        <v>43</v>
      </c>
      <c r="L882" t="s">
        <v>18</v>
      </c>
      <c r="M882" t="s">
        <v>36</v>
      </c>
      <c r="N882">
        <v>37</v>
      </c>
      <c r="O882" t="s">
        <v>17</v>
      </c>
    </row>
    <row r="883" spans="1:15" x14ac:dyDescent="0.25">
      <c r="A883">
        <v>882</v>
      </c>
      <c r="B883" t="s">
        <v>13</v>
      </c>
      <c r="C883" t="s">
        <v>14</v>
      </c>
      <c r="D883">
        <v>80000</v>
      </c>
      <c r="E883">
        <v>4</v>
      </c>
      <c r="F883" s="2" t="s">
        <v>45</v>
      </c>
      <c r="G883" t="s">
        <v>35</v>
      </c>
      <c r="H883" t="s">
        <v>32</v>
      </c>
      <c r="I883" t="s">
        <v>17</v>
      </c>
      <c r="J883">
        <v>2</v>
      </c>
      <c r="K883" t="s">
        <v>44</v>
      </c>
      <c r="L883" t="s">
        <v>18</v>
      </c>
      <c r="M883" t="s">
        <v>36</v>
      </c>
      <c r="N883">
        <v>72</v>
      </c>
      <c r="O883" t="s">
        <v>17</v>
      </c>
    </row>
    <row r="884" spans="1:15" x14ac:dyDescent="0.25">
      <c r="A884">
        <v>883</v>
      </c>
      <c r="B884" t="s">
        <v>13</v>
      </c>
      <c r="C884" t="s">
        <v>21</v>
      </c>
      <c r="D884">
        <v>30000</v>
      </c>
      <c r="E884">
        <v>0</v>
      </c>
      <c r="F884" s="2" t="s">
        <v>46</v>
      </c>
      <c r="G884" t="s">
        <v>35</v>
      </c>
      <c r="H884" t="s">
        <v>16</v>
      </c>
      <c r="I884" t="s">
        <v>17</v>
      </c>
      <c r="J884">
        <v>0</v>
      </c>
      <c r="K884" t="s">
        <v>43</v>
      </c>
      <c r="L884" t="s">
        <v>18</v>
      </c>
      <c r="M884" t="s">
        <v>36</v>
      </c>
      <c r="N884">
        <v>32</v>
      </c>
      <c r="O884" t="s">
        <v>20</v>
      </c>
    </row>
    <row r="885" spans="1:15" x14ac:dyDescent="0.25">
      <c r="A885">
        <v>884</v>
      </c>
      <c r="B885" t="s">
        <v>13</v>
      </c>
      <c r="C885" t="s">
        <v>14</v>
      </c>
      <c r="D885">
        <v>60000</v>
      </c>
      <c r="E885">
        <v>1</v>
      </c>
      <c r="F885" s="2" t="s">
        <v>45</v>
      </c>
      <c r="G885" t="s">
        <v>15</v>
      </c>
      <c r="H885" t="s">
        <v>24</v>
      </c>
      <c r="I885" t="s">
        <v>17</v>
      </c>
      <c r="J885">
        <v>1</v>
      </c>
      <c r="K885" t="s">
        <v>44</v>
      </c>
      <c r="L885" t="s">
        <v>25</v>
      </c>
      <c r="M885" t="s">
        <v>36</v>
      </c>
      <c r="N885">
        <v>48</v>
      </c>
      <c r="O885" t="s">
        <v>17</v>
      </c>
    </row>
    <row r="886" spans="1:15" x14ac:dyDescent="0.25">
      <c r="A886">
        <v>885</v>
      </c>
      <c r="B886" t="s">
        <v>13</v>
      </c>
      <c r="C886" t="s">
        <v>21</v>
      </c>
      <c r="D886">
        <v>80000</v>
      </c>
      <c r="E886">
        <v>4</v>
      </c>
      <c r="F886" s="2" t="s">
        <v>45</v>
      </c>
      <c r="G886" t="s">
        <v>35</v>
      </c>
      <c r="H886" t="s">
        <v>32</v>
      </c>
      <c r="I886" t="s">
        <v>17</v>
      </c>
      <c r="J886">
        <v>2</v>
      </c>
      <c r="K886" t="s">
        <v>44</v>
      </c>
      <c r="L886" t="s">
        <v>27</v>
      </c>
      <c r="M886" t="s">
        <v>36</v>
      </c>
      <c r="N886">
        <v>68</v>
      </c>
      <c r="O886" t="s">
        <v>20</v>
      </c>
    </row>
    <row r="887" spans="1:15" x14ac:dyDescent="0.25">
      <c r="A887">
        <v>886</v>
      </c>
      <c r="B887" t="s">
        <v>13</v>
      </c>
      <c r="C887" t="s">
        <v>14</v>
      </c>
      <c r="D887">
        <v>20000</v>
      </c>
      <c r="E887">
        <v>2</v>
      </c>
      <c r="F887" s="2" t="s">
        <v>45</v>
      </c>
      <c r="G887" t="s">
        <v>33</v>
      </c>
      <c r="H887" t="s">
        <v>23</v>
      </c>
      <c r="I887" t="s">
        <v>17</v>
      </c>
      <c r="J887">
        <v>2</v>
      </c>
      <c r="K887" t="s">
        <v>44</v>
      </c>
      <c r="L887" t="s">
        <v>18</v>
      </c>
      <c r="M887" t="s">
        <v>36</v>
      </c>
      <c r="N887">
        <v>49</v>
      </c>
      <c r="O887" t="s">
        <v>20</v>
      </c>
    </row>
    <row r="888" spans="1:15" x14ac:dyDescent="0.25">
      <c r="A888">
        <v>887</v>
      </c>
      <c r="B888" t="s">
        <v>13</v>
      </c>
      <c r="C888" t="s">
        <v>21</v>
      </c>
      <c r="D888">
        <v>70000</v>
      </c>
      <c r="E888">
        <v>3</v>
      </c>
      <c r="F888" s="2" t="s">
        <v>45</v>
      </c>
      <c r="G888" t="s">
        <v>35</v>
      </c>
      <c r="H888" t="s">
        <v>24</v>
      </c>
      <c r="I888" t="s">
        <v>17</v>
      </c>
      <c r="J888">
        <v>0</v>
      </c>
      <c r="K888" t="s">
        <v>43</v>
      </c>
      <c r="L888" t="s">
        <v>25</v>
      </c>
      <c r="M888" t="s">
        <v>36</v>
      </c>
      <c r="N888">
        <v>34</v>
      </c>
      <c r="O888" t="s">
        <v>20</v>
      </c>
    </row>
    <row r="889" spans="1:15" x14ac:dyDescent="0.25">
      <c r="A889">
        <v>888</v>
      </c>
      <c r="B889" t="s">
        <v>13</v>
      </c>
      <c r="C889" t="s">
        <v>21</v>
      </c>
      <c r="D889">
        <v>50000</v>
      </c>
      <c r="E889">
        <v>0</v>
      </c>
      <c r="F889" s="2" t="s">
        <v>46</v>
      </c>
      <c r="G889" t="s">
        <v>35</v>
      </c>
      <c r="H889" t="s">
        <v>16</v>
      </c>
      <c r="I889" t="s">
        <v>17</v>
      </c>
      <c r="J889">
        <v>0</v>
      </c>
      <c r="K889" t="s">
        <v>43</v>
      </c>
      <c r="L889" t="s">
        <v>18</v>
      </c>
      <c r="M889" t="s">
        <v>36</v>
      </c>
      <c r="N889">
        <v>32</v>
      </c>
      <c r="O889" t="s">
        <v>20</v>
      </c>
    </row>
    <row r="890" spans="1:15" x14ac:dyDescent="0.25">
      <c r="A890">
        <v>889</v>
      </c>
      <c r="B890" t="s">
        <v>26</v>
      </c>
      <c r="C890" t="s">
        <v>14</v>
      </c>
      <c r="D890">
        <v>60000</v>
      </c>
      <c r="E890">
        <v>4</v>
      </c>
      <c r="F890" s="2" t="s">
        <v>45</v>
      </c>
      <c r="G890" t="s">
        <v>15</v>
      </c>
      <c r="H890" t="s">
        <v>16</v>
      </c>
      <c r="I890" t="s">
        <v>20</v>
      </c>
      <c r="J890">
        <v>2</v>
      </c>
      <c r="K890" t="s">
        <v>44</v>
      </c>
      <c r="L890" t="s">
        <v>18</v>
      </c>
      <c r="M890" t="s">
        <v>36</v>
      </c>
      <c r="N890">
        <v>42</v>
      </c>
      <c r="O890" t="s">
        <v>20</v>
      </c>
    </row>
    <row r="891" spans="1:15" x14ac:dyDescent="0.25">
      <c r="A891">
        <v>890</v>
      </c>
      <c r="B891" t="s">
        <v>13</v>
      </c>
      <c r="C891" t="s">
        <v>14</v>
      </c>
      <c r="D891">
        <v>70000</v>
      </c>
      <c r="E891">
        <v>1</v>
      </c>
      <c r="F891" s="2" t="s">
        <v>45</v>
      </c>
      <c r="G891" t="s">
        <v>35</v>
      </c>
      <c r="H891" t="s">
        <v>16</v>
      </c>
      <c r="I891" t="s">
        <v>17</v>
      </c>
      <c r="J891">
        <v>0</v>
      </c>
      <c r="K891" t="s">
        <v>43</v>
      </c>
      <c r="L891" t="s">
        <v>18</v>
      </c>
      <c r="M891" t="s">
        <v>36</v>
      </c>
      <c r="N891">
        <v>35</v>
      </c>
      <c r="O891" t="s">
        <v>17</v>
      </c>
    </row>
    <row r="892" spans="1:15" x14ac:dyDescent="0.25">
      <c r="A892">
        <v>891</v>
      </c>
      <c r="B892" t="s">
        <v>13</v>
      </c>
      <c r="C892" t="s">
        <v>14</v>
      </c>
      <c r="D892">
        <v>40000</v>
      </c>
      <c r="E892">
        <v>2</v>
      </c>
      <c r="F892" s="2" t="s">
        <v>45</v>
      </c>
      <c r="G892" t="s">
        <v>22</v>
      </c>
      <c r="H892" t="s">
        <v>23</v>
      </c>
      <c r="I892" t="s">
        <v>17</v>
      </c>
      <c r="J892">
        <v>1</v>
      </c>
      <c r="K892" t="s">
        <v>44</v>
      </c>
      <c r="L892" t="s">
        <v>18</v>
      </c>
      <c r="M892" t="s">
        <v>36</v>
      </c>
      <c r="N892">
        <v>48</v>
      </c>
      <c r="O892" t="s">
        <v>20</v>
      </c>
    </row>
    <row r="893" spans="1:15" x14ac:dyDescent="0.25">
      <c r="A893">
        <v>892</v>
      </c>
      <c r="B893" t="s">
        <v>26</v>
      </c>
      <c r="C893" t="s">
        <v>21</v>
      </c>
      <c r="D893">
        <v>100000</v>
      </c>
      <c r="E893">
        <v>1</v>
      </c>
      <c r="F893" s="2" t="s">
        <v>45</v>
      </c>
      <c r="G893" t="s">
        <v>35</v>
      </c>
      <c r="H893" t="s">
        <v>32</v>
      </c>
      <c r="I893" t="s">
        <v>17</v>
      </c>
      <c r="J893">
        <v>3</v>
      </c>
      <c r="K893" t="s">
        <v>44</v>
      </c>
      <c r="L893" t="s">
        <v>25</v>
      </c>
      <c r="M893" t="s">
        <v>36</v>
      </c>
      <c r="N893">
        <v>73</v>
      </c>
      <c r="O893" t="s">
        <v>17</v>
      </c>
    </row>
    <row r="894" spans="1:15" x14ac:dyDescent="0.25">
      <c r="A894">
        <v>893</v>
      </c>
      <c r="B894" t="s">
        <v>26</v>
      </c>
      <c r="C894" t="s">
        <v>14</v>
      </c>
      <c r="D894">
        <v>70000</v>
      </c>
      <c r="E894">
        <v>4</v>
      </c>
      <c r="F894" s="2" t="s">
        <v>45</v>
      </c>
      <c r="G894" t="s">
        <v>15</v>
      </c>
      <c r="H894" t="s">
        <v>16</v>
      </c>
      <c r="I894" t="s">
        <v>17</v>
      </c>
      <c r="J894">
        <v>2</v>
      </c>
      <c r="K894" t="s">
        <v>44</v>
      </c>
      <c r="L894" t="s">
        <v>25</v>
      </c>
      <c r="M894" t="s">
        <v>36</v>
      </c>
      <c r="N894">
        <v>43</v>
      </c>
      <c r="O894" t="s">
        <v>17</v>
      </c>
    </row>
    <row r="895" spans="1:15" x14ac:dyDescent="0.25">
      <c r="A895">
        <v>894</v>
      </c>
      <c r="B895" t="s">
        <v>13</v>
      </c>
      <c r="C895" t="s">
        <v>21</v>
      </c>
      <c r="D895">
        <v>60000</v>
      </c>
      <c r="E895">
        <v>1</v>
      </c>
      <c r="F895" s="2" t="s">
        <v>45</v>
      </c>
      <c r="G895" t="s">
        <v>35</v>
      </c>
      <c r="H895" t="s">
        <v>24</v>
      </c>
      <c r="I895" t="s">
        <v>17</v>
      </c>
      <c r="J895">
        <v>0</v>
      </c>
      <c r="K895" t="s">
        <v>43</v>
      </c>
      <c r="L895" t="s">
        <v>18</v>
      </c>
      <c r="M895" t="s">
        <v>36</v>
      </c>
      <c r="N895">
        <v>35</v>
      </c>
      <c r="O895" t="s">
        <v>20</v>
      </c>
    </row>
    <row r="896" spans="1:15" x14ac:dyDescent="0.25">
      <c r="A896">
        <v>895</v>
      </c>
      <c r="B896" t="s">
        <v>13</v>
      </c>
      <c r="C896" t="s">
        <v>21</v>
      </c>
      <c r="D896">
        <v>70000</v>
      </c>
      <c r="E896">
        <v>3</v>
      </c>
      <c r="F896" s="2" t="s">
        <v>45</v>
      </c>
      <c r="G896" t="s">
        <v>35</v>
      </c>
      <c r="H896" t="s">
        <v>24</v>
      </c>
      <c r="I896" t="s">
        <v>17</v>
      </c>
      <c r="J896">
        <v>0</v>
      </c>
      <c r="K896" t="s">
        <v>43</v>
      </c>
      <c r="L896" t="s">
        <v>18</v>
      </c>
      <c r="M896" t="s">
        <v>36</v>
      </c>
      <c r="N896">
        <v>35</v>
      </c>
      <c r="O896" t="s">
        <v>17</v>
      </c>
    </row>
    <row r="897" spans="1:15" x14ac:dyDescent="0.25">
      <c r="A897">
        <v>896</v>
      </c>
      <c r="B897" t="s">
        <v>13</v>
      </c>
      <c r="C897" t="s">
        <v>14</v>
      </c>
      <c r="D897">
        <v>50000</v>
      </c>
      <c r="E897">
        <v>4</v>
      </c>
      <c r="F897" s="2" t="s">
        <v>45</v>
      </c>
      <c r="G897" t="s">
        <v>15</v>
      </c>
      <c r="H897" t="s">
        <v>32</v>
      </c>
      <c r="I897" t="s">
        <v>17</v>
      </c>
      <c r="J897">
        <v>2</v>
      </c>
      <c r="K897" t="s">
        <v>44</v>
      </c>
      <c r="L897" t="s">
        <v>30</v>
      </c>
      <c r="M897" t="s">
        <v>36</v>
      </c>
      <c r="N897">
        <v>64</v>
      </c>
      <c r="O897" t="s">
        <v>17</v>
      </c>
    </row>
    <row r="898" spans="1:15" x14ac:dyDescent="0.25">
      <c r="A898">
        <v>897</v>
      </c>
      <c r="B898" t="s">
        <v>13</v>
      </c>
      <c r="C898" t="s">
        <v>14</v>
      </c>
      <c r="D898">
        <v>50000</v>
      </c>
      <c r="E898">
        <v>1</v>
      </c>
      <c r="F898" s="2" t="s">
        <v>45</v>
      </c>
      <c r="G898" t="s">
        <v>15</v>
      </c>
      <c r="H898" t="s">
        <v>16</v>
      </c>
      <c r="I898" t="s">
        <v>17</v>
      </c>
      <c r="J898">
        <v>0</v>
      </c>
      <c r="K898" t="s">
        <v>43</v>
      </c>
      <c r="L898" t="s">
        <v>18</v>
      </c>
      <c r="M898" t="s">
        <v>36</v>
      </c>
      <c r="N898">
        <v>34</v>
      </c>
      <c r="O898" t="s">
        <v>17</v>
      </c>
    </row>
    <row r="899" spans="1:15" x14ac:dyDescent="0.25">
      <c r="A899">
        <v>898</v>
      </c>
      <c r="B899" t="s">
        <v>13</v>
      </c>
      <c r="C899" t="s">
        <v>21</v>
      </c>
      <c r="D899">
        <v>30000</v>
      </c>
      <c r="E899">
        <v>0</v>
      </c>
      <c r="F899" s="2" t="s">
        <v>46</v>
      </c>
      <c r="G899" t="s">
        <v>33</v>
      </c>
      <c r="H899" t="s">
        <v>23</v>
      </c>
      <c r="I899" t="s">
        <v>20</v>
      </c>
      <c r="J899">
        <v>2</v>
      </c>
      <c r="K899" t="s">
        <v>44</v>
      </c>
      <c r="L899" t="s">
        <v>18</v>
      </c>
      <c r="M899" t="s">
        <v>36</v>
      </c>
      <c r="N899">
        <v>28</v>
      </c>
      <c r="O899" t="s">
        <v>20</v>
      </c>
    </row>
    <row r="900" spans="1:15" x14ac:dyDescent="0.25">
      <c r="A900">
        <v>899</v>
      </c>
      <c r="B900" t="s">
        <v>26</v>
      </c>
      <c r="C900" t="s">
        <v>21</v>
      </c>
      <c r="D900">
        <v>70000</v>
      </c>
      <c r="E900">
        <v>5</v>
      </c>
      <c r="F900" s="2" t="s">
        <v>45</v>
      </c>
      <c r="G900" t="s">
        <v>15</v>
      </c>
      <c r="H900" t="s">
        <v>32</v>
      </c>
      <c r="I900" t="s">
        <v>17</v>
      </c>
      <c r="J900">
        <v>3</v>
      </c>
      <c r="K900" t="s">
        <v>44</v>
      </c>
      <c r="L900" t="s">
        <v>34</v>
      </c>
      <c r="M900" t="s">
        <v>36</v>
      </c>
      <c r="N900">
        <v>60</v>
      </c>
      <c r="O900" t="s">
        <v>17</v>
      </c>
    </row>
    <row r="901" spans="1:15" x14ac:dyDescent="0.25">
      <c r="A901">
        <v>900</v>
      </c>
      <c r="B901" t="s">
        <v>13</v>
      </c>
      <c r="C901" t="s">
        <v>14</v>
      </c>
      <c r="D901">
        <v>70000</v>
      </c>
      <c r="E901">
        <v>5</v>
      </c>
      <c r="F901" s="2" t="s">
        <v>45</v>
      </c>
      <c r="G901" t="s">
        <v>35</v>
      </c>
      <c r="H901" t="s">
        <v>24</v>
      </c>
      <c r="I901" t="s">
        <v>17</v>
      </c>
      <c r="J901">
        <v>3</v>
      </c>
      <c r="K901" t="s">
        <v>44</v>
      </c>
      <c r="L901" t="s">
        <v>34</v>
      </c>
      <c r="M901" t="s">
        <v>36</v>
      </c>
      <c r="N901">
        <v>46</v>
      </c>
      <c r="O901" t="s">
        <v>20</v>
      </c>
    </row>
    <row r="902" spans="1:15" x14ac:dyDescent="0.25">
      <c r="A902">
        <v>901</v>
      </c>
      <c r="B902" t="s">
        <v>13</v>
      </c>
      <c r="C902" t="s">
        <v>21</v>
      </c>
      <c r="D902">
        <v>40000</v>
      </c>
      <c r="E902">
        <v>4</v>
      </c>
      <c r="F902" s="2" t="s">
        <v>45</v>
      </c>
      <c r="G902" t="s">
        <v>31</v>
      </c>
      <c r="H902" t="s">
        <v>16</v>
      </c>
      <c r="I902" t="s">
        <v>17</v>
      </c>
      <c r="J902">
        <v>2</v>
      </c>
      <c r="K902" t="s">
        <v>44</v>
      </c>
      <c r="L902" t="s">
        <v>18</v>
      </c>
      <c r="M902" t="s">
        <v>36</v>
      </c>
      <c r="N902">
        <v>44</v>
      </c>
      <c r="O902" t="s">
        <v>17</v>
      </c>
    </row>
    <row r="903" spans="1:15" x14ac:dyDescent="0.25">
      <c r="A903">
        <v>902</v>
      </c>
      <c r="B903" t="s">
        <v>26</v>
      </c>
      <c r="C903" t="s">
        <v>14</v>
      </c>
      <c r="D903">
        <v>60000</v>
      </c>
      <c r="E903">
        <v>4</v>
      </c>
      <c r="F903" s="2" t="s">
        <v>45</v>
      </c>
      <c r="G903" t="s">
        <v>15</v>
      </c>
      <c r="H903" t="s">
        <v>16</v>
      </c>
      <c r="I903" t="s">
        <v>17</v>
      </c>
      <c r="J903">
        <v>2</v>
      </c>
      <c r="K903" t="s">
        <v>44</v>
      </c>
      <c r="L903" t="s">
        <v>25</v>
      </c>
      <c r="M903" t="s">
        <v>36</v>
      </c>
      <c r="N903">
        <v>42</v>
      </c>
      <c r="O903" t="s">
        <v>17</v>
      </c>
    </row>
    <row r="904" spans="1:15" x14ac:dyDescent="0.25">
      <c r="A904">
        <v>903</v>
      </c>
      <c r="B904" t="s">
        <v>26</v>
      </c>
      <c r="C904" t="s">
        <v>21</v>
      </c>
      <c r="D904">
        <v>80000</v>
      </c>
      <c r="E904">
        <v>3</v>
      </c>
      <c r="F904" s="2" t="s">
        <v>45</v>
      </c>
      <c r="G904" t="s">
        <v>15</v>
      </c>
      <c r="H904" t="s">
        <v>16</v>
      </c>
      <c r="I904" t="s">
        <v>17</v>
      </c>
      <c r="J904">
        <v>0</v>
      </c>
      <c r="K904" t="s">
        <v>43</v>
      </c>
      <c r="L904" t="s">
        <v>25</v>
      </c>
      <c r="M904" t="s">
        <v>36</v>
      </c>
      <c r="N904">
        <v>40</v>
      </c>
      <c r="O904" t="s">
        <v>20</v>
      </c>
    </row>
    <row r="905" spans="1:15" x14ac:dyDescent="0.25">
      <c r="A905">
        <v>904</v>
      </c>
      <c r="B905" t="s">
        <v>26</v>
      </c>
      <c r="C905" t="s">
        <v>21</v>
      </c>
      <c r="D905">
        <v>90000</v>
      </c>
      <c r="E905">
        <v>4</v>
      </c>
      <c r="F905" s="2" t="s">
        <v>45</v>
      </c>
      <c r="G905" t="s">
        <v>35</v>
      </c>
      <c r="H905" t="s">
        <v>32</v>
      </c>
      <c r="I905" t="s">
        <v>17</v>
      </c>
      <c r="J905">
        <v>1</v>
      </c>
      <c r="K905" t="s">
        <v>44</v>
      </c>
      <c r="L905" t="s">
        <v>27</v>
      </c>
      <c r="M905" t="s">
        <v>36</v>
      </c>
      <c r="N905">
        <v>73</v>
      </c>
      <c r="O905" t="s">
        <v>20</v>
      </c>
    </row>
    <row r="906" spans="1:15" x14ac:dyDescent="0.25">
      <c r="A906">
        <v>905</v>
      </c>
      <c r="B906" t="s">
        <v>26</v>
      </c>
      <c r="C906" t="s">
        <v>14</v>
      </c>
      <c r="D906">
        <v>60000</v>
      </c>
      <c r="E906">
        <v>2</v>
      </c>
      <c r="F906" s="2" t="s">
        <v>45</v>
      </c>
      <c r="G906" t="s">
        <v>15</v>
      </c>
      <c r="H906" t="s">
        <v>16</v>
      </c>
      <c r="I906" t="s">
        <v>20</v>
      </c>
      <c r="J906">
        <v>0</v>
      </c>
      <c r="K906" t="s">
        <v>43</v>
      </c>
      <c r="L906" t="s">
        <v>18</v>
      </c>
      <c r="M906" t="s">
        <v>36</v>
      </c>
      <c r="N906">
        <v>36</v>
      </c>
      <c r="O906" t="s">
        <v>17</v>
      </c>
    </row>
    <row r="907" spans="1:15" x14ac:dyDescent="0.25">
      <c r="A907">
        <v>906</v>
      </c>
      <c r="B907" t="s">
        <v>26</v>
      </c>
      <c r="C907" t="s">
        <v>21</v>
      </c>
      <c r="D907">
        <v>90000</v>
      </c>
      <c r="E907">
        <v>4</v>
      </c>
      <c r="F907" s="2" t="s">
        <v>45</v>
      </c>
      <c r="G907" t="s">
        <v>15</v>
      </c>
      <c r="H907" t="s">
        <v>32</v>
      </c>
      <c r="I907" t="s">
        <v>17</v>
      </c>
      <c r="J907">
        <v>1</v>
      </c>
      <c r="K907" t="s">
        <v>44</v>
      </c>
      <c r="L907" t="s">
        <v>30</v>
      </c>
      <c r="M907" t="s">
        <v>36</v>
      </c>
      <c r="N907">
        <v>38</v>
      </c>
      <c r="O907" t="s">
        <v>17</v>
      </c>
    </row>
    <row r="908" spans="1:15" x14ac:dyDescent="0.25">
      <c r="A908">
        <v>907</v>
      </c>
      <c r="B908" t="s">
        <v>13</v>
      </c>
      <c r="C908" t="s">
        <v>21</v>
      </c>
      <c r="D908">
        <v>60000</v>
      </c>
      <c r="E908">
        <v>1</v>
      </c>
      <c r="F908" s="2" t="s">
        <v>45</v>
      </c>
      <c r="G908" t="s">
        <v>35</v>
      </c>
      <c r="H908" t="s">
        <v>24</v>
      </c>
      <c r="I908" t="s">
        <v>17</v>
      </c>
      <c r="J908">
        <v>0</v>
      </c>
      <c r="K908" t="s">
        <v>43</v>
      </c>
      <c r="L908" t="s">
        <v>25</v>
      </c>
      <c r="M908" t="s">
        <v>36</v>
      </c>
      <c r="N908">
        <v>34</v>
      </c>
      <c r="O908" t="s">
        <v>17</v>
      </c>
    </row>
    <row r="909" spans="1:15" x14ac:dyDescent="0.25">
      <c r="A909">
        <v>908</v>
      </c>
      <c r="B909" t="s">
        <v>13</v>
      </c>
      <c r="C909" t="s">
        <v>21</v>
      </c>
      <c r="D909">
        <v>50000</v>
      </c>
      <c r="E909">
        <v>4</v>
      </c>
      <c r="F909" s="2" t="s">
        <v>45</v>
      </c>
      <c r="G909" t="s">
        <v>15</v>
      </c>
      <c r="H909" t="s">
        <v>32</v>
      </c>
      <c r="I909" t="s">
        <v>17</v>
      </c>
      <c r="J909">
        <v>2</v>
      </c>
      <c r="K909" t="s">
        <v>44</v>
      </c>
      <c r="L909" t="s">
        <v>34</v>
      </c>
      <c r="M909" t="s">
        <v>36</v>
      </c>
      <c r="N909">
        <v>63</v>
      </c>
      <c r="O909" t="s">
        <v>20</v>
      </c>
    </row>
    <row r="910" spans="1:15" x14ac:dyDescent="0.25">
      <c r="A910">
        <v>909</v>
      </c>
      <c r="B910" t="s">
        <v>26</v>
      </c>
      <c r="C910" t="s">
        <v>21</v>
      </c>
      <c r="D910">
        <v>50000</v>
      </c>
      <c r="E910">
        <v>3</v>
      </c>
      <c r="F910" s="2" t="s">
        <v>45</v>
      </c>
      <c r="G910" t="s">
        <v>15</v>
      </c>
      <c r="H910" t="s">
        <v>16</v>
      </c>
      <c r="I910" t="s">
        <v>17</v>
      </c>
      <c r="J910">
        <v>2</v>
      </c>
      <c r="K910" t="s">
        <v>44</v>
      </c>
      <c r="L910" t="s">
        <v>25</v>
      </c>
      <c r="M910" t="s">
        <v>36</v>
      </c>
      <c r="N910">
        <v>41</v>
      </c>
      <c r="O910" t="s">
        <v>17</v>
      </c>
    </row>
    <row r="911" spans="1:15" x14ac:dyDescent="0.25">
      <c r="A911">
        <v>910</v>
      </c>
      <c r="B911" t="s">
        <v>13</v>
      </c>
      <c r="C911" t="s">
        <v>21</v>
      </c>
      <c r="D911">
        <v>60000</v>
      </c>
      <c r="E911">
        <v>0</v>
      </c>
      <c r="F911" s="2" t="s">
        <v>46</v>
      </c>
      <c r="G911" t="s">
        <v>35</v>
      </c>
      <c r="H911" t="s">
        <v>16</v>
      </c>
      <c r="I911" t="s">
        <v>17</v>
      </c>
      <c r="J911">
        <v>0</v>
      </c>
      <c r="K911" t="s">
        <v>43</v>
      </c>
      <c r="L911" t="s">
        <v>30</v>
      </c>
      <c r="M911" t="s">
        <v>36</v>
      </c>
      <c r="N911">
        <v>39</v>
      </c>
      <c r="O911" t="s">
        <v>17</v>
      </c>
    </row>
    <row r="912" spans="1:15" x14ac:dyDescent="0.25">
      <c r="A912">
        <v>911</v>
      </c>
      <c r="B912" t="s">
        <v>13</v>
      </c>
      <c r="C912" t="s">
        <v>21</v>
      </c>
      <c r="D912">
        <v>40000</v>
      </c>
      <c r="E912">
        <v>4</v>
      </c>
      <c r="F912" s="2" t="s">
        <v>45</v>
      </c>
      <c r="G912" t="s">
        <v>31</v>
      </c>
      <c r="H912" t="s">
        <v>16</v>
      </c>
      <c r="I912" t="s">
        <v>17</v>
      </c>
      <c r="J912">
        <v>2</v>
      </c>
      <c r="K912" t="s">
        <v>44</v>
      </c>
      <c r="L912" t="s">
        <v>25</v>
      </c>
      <c r="M912" t="s">
        <v>36</v>
      </c>
      <c r="N912">
        <v>46</v>
      </c>
      <c r="O912" t="s">
        <v>20</v>
      </c>
    </row>
    <row r="913" spans="1:15" x14ac:dyDescent="0.25">
      <c r="A913">
        <v>912</v>
      </c>
      <c r="B913" t="s">
        <v>13</v>
      </c>
      <c r="C913" t="s">
        <v>14</v>
      </c>
      <c r="D913">
        <v>80000</v>
      </c>
      <c r="E913">
        <v>5</v>
      </c>
      <c r="F913" s="2" t="s">
        <v>45</v>
      </c>
      <c r="G913" t="s">
        <v>15</v>
      </c>
      <c r="H913" t="s">
        <v>32</v>
      </c>
      <c r="I913" t="s">
        <v>17</v>
      </c>
      <c r="J913">
        <v>2</v>
      </c>
      <c r="K913" t="s">
        <v>44</v>
      </c>
      <c r="L913" t="s">
        <v>27</v>
      </c>
      <c r="M913" t="s">
        <v>36</v>
      </c>
      <c r="N913">
        <v>64</v>
      </c>
      <c r="O913" t="s">
        <v>20</v>
      </c>
    </row>
    <row r="914" spans="1:15" x14ac:dyDescent="0.25">
      <c r="A914">
        <v>913</v>
      </c>
      <c r="B914" t="s">
        <v>13</v>
      </c>
      <c r="C914" t="s">
        <v>14</v>
      </c>
      <c r="D914">
        <v>40000</v>
      </c>
      <c r="E914">
        <v>3</v>
      </c>
      <c r="F914" s="2" t="s">
        <v>45</v>
      </c>
      <c r="G914" t="s">
        <v>22</v>
      </c>
      <c r="H914" t="s">
        <v>23</v>
      </c>
      <c r="I914" t="s">
        <v>17</v>
      </c>
      <c r="J914">
        <v>1</v>
      </c>
      <c r="K914" t="s">
        <v>44</v>
      </c>
      <c r="L914" t="s">
        <v>30</v>
      </c>
      <c r="M914" t="s">
        <v>36</v>
      </c>
      <c r="N914">
        <v>32</v>
      </c>
      <c r="O914" t="s">
        <v>20</v>
      </c>
    </row>
    <row r="915" spans="1:15" x14ac:dyDescent="0.25">
      <c r="A915">
        <v>914</v>
      </c>
      <c r="B915" t="s">
        <v>26</v>
      </c>
      <c r="C915" t="s">
        <v>21</v>
      </c>
      <c r="D915">
        <v>60000</v>
      </c>
      <c r="E915">
        <v>2</v>
      </c>
      <c r="F915" s="2" t="s">
        <v>45</v>
      </c>
      <c r="G915" t="s">
        <v>15</v>
      </c>
      <c r="H915" t="s">
        <v>16</v>
      </c>
      <c r="I915" t="s">
        <v>17</v>
      </c>
      <c r="J915">
        <v>0</v>
      </c>
      <c r="K915" t="s">
        <v>43</v>
      </c>
      <c r="L915" t="s">
        <v>25</v>
      </c>
      <c r="M915" t="s">
        <v>36</v>
      </c>
      <c r="N915">
        <v>36</v>
      </c>
      <c r="O915" t="s">
        <v>17</v>
      </c>
    </row>
    <row r="916" spans="1:15" x14ac:dyDescent="0.25">
      <c r="A916">
        <v>915</v>
      </c>
      <c r="B916" t="s">
        <v>26</v>
      </c>
      <c r="C916" t="s">
        <v>21</v>
      </c>
      <c r="D916">
        <v>80000</v>
      </c>
      <c r="E916">
        <v>5</v>
      </c>
      <c r="F916" s="2" t="s">
        <v>45</v>
      </c>
      <c r="G916" t="s">
        <v>35</v>
      </c>
      <c r="H916" t="s">
        <v>16</v>
      </c>
      <c r="I916" t="s">
        <v>20</v>
      </c>
      <c r="J916">
        <v>0</v>
      </c>
      <c r="K916" t="s">
        <v>43</v>
      </c>
      <c r="L916" t="s">
        <v>18</v>
      </c>
      <c r="M916" t="s">
        <v>36</v>
      </c>
      <c r="N916">
        <v>47</v>
      </c>
      <c r="O916" t="s">
        <v>20</v>
      </c>
    </row>
    <row r="917" spans="1:15" x14ac:dyDescent="0.25">
      <c r="A917">
        <v>916</v>
      </c>
      <c r="B917" t="s">
        <v>13</v>
      </c>
      <c r="C917" t="s">
        <v>21</v>
      </c>
      <c r="D917">
        <v>60000</v>
      </c>
      <c r="E917">
        <v>3</v>
      </c>
      <c r="F917" s="2" t="s">
        <v>45</v>
      </c>
      <c r="G917" t="s">
        <v>35</v>
      </c>
      <c r="H917" t="s">
        <v>32</v>
      </c>
      <c r="I917" t="s">
        <v>17</v>
      </c>
      <c r="J917">
        <v>2</v>
      </c>
      <c r="K917" t="s">
        <v>44</v>
      </c>
      <c r="L917" t="s">
        <v>34</v>
      </c>
      <c r="M917" t="s">
        <v>36</v>
      </c>
      <c r="N917">
        <v>64</v>
      </c>
      <c r="O917" t="s">
        <v>20</v>
      </c>
    </row>
    <row r="918" spans="1:15" x14ac:dyDescent="0.25">
      <c r="A918">
        <v>917</v>
      </c>
      <c r="B918" t="s">
        <v>26</v>
      </c>
      <c r="C918" t="s">
        <v>21</v>
      </c>
      <c r="D918">
        <v>70000</v>
      </c>
      <c r="E918">
        <v>3</v>
      </c>
      <c r="F918" s="2" t="s">
        <v>45</v>
      </c>
      <c r="G918" t="s">
        <v>35</v>
      </c>
      <c r="H918" t="s">
        <v>24</v>
      </c>
      <c r="I918" t="s">
        <v>20</v>
      </c>
      <c r="J918">
        <v>0</v>
      </c>
      <c r="K918" t="s">
        <v>43</v>
      </c>
      <c r="L918" t="s">
        <v>18</v>
      </c>
      <c r="M918" t="s">
        <v>36</v>
      </c>
      <c r="N918">
        <v>35</v>
      </c>
      <c r="O918" t="s">
        <v>17</v>
      </c>
    </row>
    <row r="919" spans="1:15" x14ac:dyDescent="0.25">
      <c r="A919">
        <v>918</v>
      </c>
      <c r="B919" t="s">
        <v>26</v>
      </c>
      <c r="C919" t="s">
        <v>21</v>
      </c>
      <c r="D919">
        <v>110000</v>
      </c>
      <c r="E919">
        <v>3</v>
      </c>
      <c r="F919" s="2" t="s">
        <v>45</v>
      </c>
      <c r="G919" t="s">
        <v>15</v>
      </c>
      <c r="H919" t="s">
        <v>32</v>
      </c>
      <c r="I919" t="s">
        <v>17</v>
      </c>
      <c r="J919">
        <v>4</v>
      </c>
      <c r="K919" t="s">
        <v>44</v>
      </c>
      <c r="L919" t="s">
        <v>25</v>
      </c>
      <c r="M919" t="s">
        <v>36</v>
      </c>
      <c r="N919">
        <v>40</v>
      </c>
      <c r="O919" t="s">
        <v>17</v>
      </c>
    </row>
    <row r="920" spans="1:15" x14ac:dyDescent="0.25">
      <c r="A920">
        <v>919</v>
      </c>
      <c r="B920" t="s">
        <v>13</v>
      </c>
      <c r="C920" t="s">
        <v>14</v>
      </c>
      <c r="D920">
        <v>70000</v>
      </c>
      <c r="E920">
        <v>0</v>
      </c>
      <c r="F920" s="2" t="s">
        <v>46</v>
      </c>
      <c r="G920" t="s">
        <v>22</v>
      </c>
      <c r="H920" t="s">
        <v>16</v>
      </c>
      <c r="I920" t="s">
        <v>17</v>
      </c>
      <c r="J920">
        <v>2</v>
      </c>
      <c r="K920" t="s">
        <v>44</v>
      </c>
      <c r="L920" t="s">
        <v>27</v>
      </c>
      <c r="M920" t="s">
        <v>36</v>
      </c>
      <c r="N920">
        <v>34</v>
      </c>
      <c r="O920" t="s">
        <v>17</v>
      </c>
    </row>
    <row r="921" spans="1:15" x14ac:dyDescent="0.25">
      <c r="A921">
        <v>920</v>
      </c>
      <c r="B921" t="s">
        <v>13</v>
      </c>
      <c r="C921" t="s">
        <v>14</v>
      </c>
      <c r="D921">
        <v>40000</v>
      </c>
      <c r="E921">
        <v>4</v>
      </c>
      <c r="F921" s="2" t="s">
        <v>45</v>
      </c>
      <c r="G921" t="s">
        <v>31</v>
      </c>
      <c r="H921" t="s">
        <v>24</v>
      </c>
      <c r="I921" t="s">
        <v>17</v>
      </c>
      <c r="J921">
        <v>2</v>
      </c>
      <c r="K921" t="s">
        <v>44</v>
      </c>
      <c r="L921" t="s">
        <v>34</v>
      </c>
      <c r="M921" t="s">
        <v>36</v>
      </c>
      <c r="N921">
        <v>61</v>
      </c>
      <c r="O921" t="s">
        <v>20</v>
      </c>
    </row>
    <row r="922" spans="1:15" x14ac:dyDescent="0.25">
      <c r="A922">
        <v>921</v>
      </c>
      <c r="B922" t="s">
        <v>13</v>
      </c>
      <c r="C922" t="s">
        <v>21</v>
      </c>
      <c r="D922">
        <v>30000</v>
      </c>
      <c r="E922">
        <v>2</v>
      </c>
      <c r="F922" s="2" t="s">
        <v>45</v>
      </c>
      <c r="G922" t="s">
        <v>31</v>
      </c>
      <c r="H922" t="s">
        <v>16</v>
      </c>
      <c r="I922" t="s">
        <v>17</v>
      </c>
      <c r="J922">
        <v>2</v>
      </c>
      <c r="K922" t="s">
        <v>44</v>
      </c>
      <c r="L922" t="s">
        <v>30</v>
      </c>
      <c r="M922" t="s">
        <v>36</v>
      </c>
      <c r="N922">
        <v>51</v>
      </c>
      <c r="O922" t="s">
        <v>20</v>
      </c>
    </row>
    <row r="923" spans="1:15" x14ac:dyDescent="0.25">
      <c r="A923">
        <v>922</v>
      </c>
      <c r="B923" t="s">
        <v>26</v>
      </c>
      <c r="C923" t="s">
        <v>14</v>
      </c>
      <c r="D923">
        <v>70000</v>
      </c>
      <c r="E923">
        <v>3</v>
      </c>
      <c r="F923" s="2" t="s">
        <v>45</v>
      </c>
      <c r="G923" t="s">
        <v>22</v>
      </c>
      <c r="H923" t="s">
        <v>24</v>
      </c>
      <c r="I923" t="s">
        <v>17</v>
      </c>
      <c r="J923">
        <v>1</v>
      </c>
      <c r="K923" t="s">
        <v>44</v>
      </c>
      <c r="L923" t="s">
        <v>27</v>
      </c>
      <c r="M923" t="s">
        <v>36</v>
      </c>
      <c r="N923">
        <v>49</v>
      </c>
      <c r="O923" t="s">
        <v>17</v>
      </c>
    </row>
    <row r="924" spans="1:15" x14ac:dyDescent="0.25">
      <c r="A924">
        <v>923</v>
      </c>
      <c r="B924" t="s">
        <v>13</v>
      </c>
      <c r="C924" t="s">
        <v>14</v>
      </c>
      <c r="D924">
        <v>40000</v>
      </c>
      <c r="E924">
        <v>3</v>
      </c>
      <c r="F924" s="2" t="s">
        <v>45</v>
      </c>
      <c r="G924" t="s">
        <v>22</v>
      </c>
      <c r="H924" t="s">
        <v>24</v>
      </c>
      <c r="I924" t="s">
        <v>20</v>
      </c>
      <c r="J924">
        <v>2</v>
      </c>
      <c r="K924" t="s">
        <v>44</v>
      </c>
      <c r="L924" t="s">
        <v>30</v>
      </c>
      <c r="M924" t="s">
        <v>36</v>
      </c>
      <c r="N924">
        <v>54</v>
      </c>
      <c r="O924" t="s">
        <v>17</v>
      </c>
    </row>
    <row r="925" spans="1:15" x14ac:dyDescent="0.25">
      <c r="A925">
        <v>924</v>
      </c>
      <c r="B925" t="s">
        <v>26</v>
      </c>
      <c r="C925" t="s">
        <v>21</v>
      </c>
      <c r="D925">
        <v>70000</v>
      </c>
      <c r="E925">
        <v>3</v>
      </c>
      <c r="F925" s="2" t="s">
        <v>45</v>
      </c>
      <c r="G925" t="s">
        <v>35</v>
      </c>
      <c r="H925" t="s">
        <v>32</v>
      </c>
      <c r="I925" t="s">
        <v>20</v>
      </c>
      <c r="J925">
        <v>2</v>
      </c>
      <c r="K925" t="s">
        <v>44</v>
      </c>
      <c r="L925" t="s">
        <v>30</v>
      </c>
      <c r="M925" t="s">
        <v>36</v>
      </c>
      <c r="N925">
        <v>53</v>
      </c>
      <c r="O925" t="s">
        <v>17</v>
      </c>
    </row>
    <row r="926" spans="1:15" x14ac:dyDescent="0.25">
      <c r="A926">
        <v>925</v>
      </c>
      <c r="B926" t="s">
        <v>26</v>
      </c>
      <c r="C926" t="s">
        <v>21</v>
      </c>
      <c r="D926">
        <v>90000</v>
      </c>
      <c r="E926">
        <v>2</v>
      </c>
      <c r="F926" s="2" t="s">
        <v>45</v>
      </c>
      <c r="G926" t="s">
        <v>22</v>
      </c>
      <c r="H926" t="s">
        <v>24</v>
      </c>
      <c r="I926" t="s">
        <v>17</v>
      </c>
      <c r="J926">
        <v>1</v>
      </c>
      <c r="K926" t="s">
        <v>44</v>
      </c>
      <c r="L926" t="s">
        <v>25</v>
      </c>
      <c r="M926" t="s">
        <v>36</v>
      </c>
      <c r="N926">
        <v>48</v>
      </c>
      <c r="O926" t="s">
        <v>17</v>
      </c>
    </row>
    <row r="927" spans="1:15" x14ac:dyDescent="0.25">
      <c r="A927">
        <v>926</v>
      </c>
      <c r="B927" t="s">
        <v>26</v>
      </c>
      <c r="C927" t="s">
        <v>14</v>
      </c>
      <c r="D927">
        <v>50000</v>
      </c>
      <c r="E927">
        <v>0</v>
      </c>
      <c r="F927" s="2" t="s">
        <v>46</v>
      </c>
      <c r="G927" t="s">
        <v>35</v>
      </c>
      <c r="H927" t="s">
        <v>16</v>
      </c>
      <c r="I927" t="s">
        <v>17</v>
      </c>
      <c r="J927">
        <v>0</v>
      </c>
      <c r="K927" t="s">
        <v>43</v>
      </c>
      <c r="L927" t="s">
        <v>30</v>
      </c>
      <c r="M927" t="s">
        <v>36</v>
      </c>
      <c r="N927">
        <v>33</v>
      </c>
      <c r="O927" t="s">
        <v>17</v>
      </c>
    </row>
    <row r="928" spans="1:15" x14ac:dyDescent="0.25">
      <c r="A928">
        <v>927</v>
      </c>
      <c r="B928" t="s">
        <v>26</v>
      </c>
      <c r="C928" t="s">
        <v>14</v>
      </c>
      <c r="D928">
        <v>40000</v>
      </c>
      <c r="E928">
        <v>2</v>
      </c>
      <c r="F928" s="2" t="s">
        <v>45</v>
      </c>
      <c r="G928" t="s">
        <v>31</v>
      </c>
      <c r="H928" t="s">
        <v>24</v>
      </c>
      <c r="I928" t="s">
        <v>17</v>
      </c>
      <c r="J928">
        <v>2</v>
      </c>
      <c r="K928" t="s">
        <v>44</v>
      </c>
      <c r="L928" t="s">
        <v>34</v>
      </c>
      <c r="M928" t="s">
        <v>36</v>
      </c>
      <c r="N928">
        <v>57</v>
      </c>
      <c r="O928" t="s">
        <v>20</v>
      </c>
    </row>
    <row r="929" spans="1:15" x14ac:dyDescent="0.25">
      <c r="A929">
        <v>928</v>
      </c>
      <c r="B929" t="s">
        <v>13</v>
      </c>
      <c r="C929" t="s">
        <v>14</v>
      </c>
      <c r="D929">
        <v>70000</v>
      </c>
      <c r="E929">
        <v>0</v>
      </c>
      <c r="F929" s="2" t="s">
        <v>46</v>
      </c>
      <c r="G929" t="s">
        <v>35</v>
      </c>
      <c r="H929" t="s">
        <v>24</v>
      </c>
      <c r="I929" t="s">
        <v>17</v>
      </c>
      <c r="J929">
        <v>0</v>
      </c>
      <c r="K929" t="s">
        <v>43</v>
      </c>
      <c r="L929" t="s">
        <v>25</v>
      </c>
      <c r="M929" t="s">
        <v>36</v>
      </c>
      <c r="N929">
        <v>39</v>
      </c>
      <c r="O929" t="s">
        <v>20</v>
      </c>
    </row>
    <row r="930" spans="1:15" x14ac:dyDescent="0.25">
      <c r="A930">
        <v>929</v>
      </c>
      <c r="B930" t="s">
        <v>13</v>
      </c>
      <c r="C930" t="s">
        <v>21</v>
      </c>
      <c r="D930">
        <v>60000</v>
      </c>
      <c r="E930">
        <v>2</v>
      </c>
      <c r="F930" s="2" t="s">
        <v>45</v>
      </c>
      <c r="G930" t="s">
        <v>31</v>
      </c>
      <c r="H930" t="s">
        <v>24</v>
      </c>
      <c r="I930" t="s">
        <v>17</v>
      </c>
      <c r="J930">
        <v>2</v>
      </c>
      <c r="K930" t="s">
        <v>44</v>
      </c>
      <c r="L930" t="s">
        <v>27</v>
      </c>
      <c r="M930" t="s">
        <v>36</v>
      </c>
      <c r="N930">
        <v>48</v>
      </c>
      <c r="O930" t="s">
        <v>20</v>
      </c>
    </row>
    <row r="931" spans="1:15" x14ac:dyDescent="0.25">
      <c r="A931">
        <v>930</v>
      </c>
      <c r="B931" t="s">
        <v>13</v>
      </c>
      <c r="C931" t="s">
        <v>21</v>
      </c>
      <c r="D931">
        <v>60000</v>
      </c>
      <c r="E931">
        <v>2</v>
      </c>
      <c r="F931" s="2" t="s">
        <v>45</v>
      </c>
      <c r="G931" t="s">
        <v>31</v>
      </c>
      <c r="H931" t="s">
        <v>24</v>
      </c>
      <c r="I931" t="s">
        <v>17</v>
      </c>
      <c r="J931">
        <v>2</v>
      </c>
      <c r="K931" t="s">
        <v>44</v>
      </c>
      <c r="L931" t="s">
        <v>27</v>
      </c>
      <c r="M931" t="s">
        <v>36</v>
      </c>
      <c r="N931">
        <v>50</v>
      </c>
      <c r="O931" t="s">
        <v>20</v>
      </c>
    </row>
    <row r="932" spans="1:15" x14ac:dyDescent="0.25">
      <c r="A932">
        <v>931</v>
      </c>
      <c r="B932" t="s">
        <v>13</v>
      </c>
      <c r="C932" t="s">
        <v>21</v>
      </c>
      <c r="D932">
        <v>70000</v>
      </c>
      <c r="E932">
        <v>5</v>
      </c>
      <c r="F932" s="2" t="s">
        <v>45</v>
      </c>
      <c r="G932" t="s">
        <v>35</v>
      </c>
      <c r="H932" t="s">
        <v>24</v>
      </c>
      <c r="I932" t="s">
        <v>20</v>
      </c>
      <c r="J932">
        <v>3</v>
      </c>
      <c r="K932" t="s">
        <v>44</v>
      </c>
      <c r="L932" t="s">
        <v>34</v>
      </c>
      <c r="M932" t="s">
        <v>36</v>
      </c>
      <c r="N932">
        <v>47</v>
      </c>
      <c r="O932" t="s">
        <v>20</v>
      </c>
    </row>
    <row r="933" spans="1:15" x14ac:dyDescent="0.25">
      <c r="A933">
        <v>932</v>
      </c>
      <c r="B933" t="s">
        <v>13</v>
      </c>
      <c r="C933" t="s">
        <v>14</v>
      </c>
      <c r="D933">
        <v>40000</v>
      </c>
      <c r="E933">
        <v>1</v>
      </c>
      <c r="F933" s="2" t="s">
        <v>45</v>
      </c>
      <c r="G933" t="s">
        <v>22</v>
      </c>
      <c r="H933" t="s">
        <v>23</v>
      </c>
      <c r="I933" t="s">
        <v>17</v>
      </c>
      <c r="J933">
        <v>1</v>
      </c>
      <c r="K933" t="s">
        <v>44</v>
      </c>
      <c r="L933" t="s">
        <v>30</v>
      </c>
      <c r="M933" t="s">
        <v>36</v>
      </c>
      <c r="N933">
        <v>49</v>
      </c>
      <c r="O933" t="s">
        <v>17</v>
      </c>
    </row>
    <row r="934" spans="1:15" x14ac:dyDescent="0.25">
      <c r="A934">
        <v>933</v>
      </c>
      <c r="B934" t="s">
        <v>26</v>
      </c>
      <c r="C934" t="s">
        <v>14</v>
      </c>
      <c r="D934">
        <v>40000</v>
      </c>
      <c r="E934">
        <v>0</v>
      </c>
      <c r="F934" s="2" t="s">
        <v>46</v>
      </c>
      <c r="G934" t="s">
        <v>31</v>
      </c>
      <c r="H934" t="s">
        <v>16</v>
      </c>
      <c r="I934" t="s">
        <v>20</v>
      </c>
      <c r="J934">
        <v>2</v>
      </c>
      <c r="K934" t="s">
        <v>44</v>
      </c>
      <c r="L934" t="s">
        <v>18</v>
      </c>
      <c r="M934" t="s">
        <v>36</v>
      </c>
      <c r="N934">
        <v>27</v>
      </c>
      <c r="O934" t="s">
        <v>17</v>
      </c>
    </row>
    <row r="935" spans="1:15" x14ac:dyDescent="0.25">
      <c r="A935">
        <v>934</v>
      </c>
      <c r="B935" t="s">
        <v>26</v>
      </c>
      <c r="C935" t="s">
        <v>21</v>
      </c>
      <c r="D935">
        <v>60000</v>
      </c>
      <c r="E935">
        <v>0</v>
      </c>
      <c r="F935" s="2" t="s">
        <v>46</v>
      </c>
      <c r="G935" t="s">
        <v>22</v>
      </c>
      <c r="H935" t="s">
        <v>16</v>
      </c>
      <c r="I935" t="s">
        <v>17</v>
      </c>
      <c r="J935">
        <v>0</v>
      </c>
      <c r="K935" t="s">
        <v>43</v>
      </c>
      <c r="L935" t="s">
        <v>27</v>
      </c>
      <c r="M935" t="s">
        <v>36</v>
      </c>
      <c r="N935">
        <v>29</v>
      </c>
      <c r="O935" t="s">
        <v>20</v>
      </c>
    </row>
    <row r="936" spans="1:15" x14ac:dyDescent="0.25">
      <c r="A936">
        <v>935</v>
      </c>
      <c r="B936" t="s">
        <v>13</v>
      </c>
      <c r="C936" t="s">
        <v>21</v>
      </c>
      <c r="D936">
        <v>60000</v>
      </c>
      <c r="E936">
        <v>2</v>
      </c>
      <c r="F936" s="2" t="s">
        <v>45</v>
      </c>
      <c r="G936" t="s">
        <v>15</v>
      </c>
      <c r="H936" t="s">
        <v>32</v>
      </c>
      <c r="I936" t="s">
        <v>17</v>
      </c>
      <c r="J936">
        <v>0</v>
      </c>
      <c r="K936" t="s">
        <v>43</v>
      </c>
      <c r="L936" t="s">
        <v>25</v>
      </c>
      <c r="M936" t="s">
        <v>36</v>
      </c>
      <c r="N936">
        <v>59</v>
      </c>
      <c r="O936" t="s">
        <v>20</v>
      </c>
    </row>
    <row r="937" spans="1:15" x14ac:dyDescent="0.25">
      <c r="A937">
        <v>936</v>
      </c>
      <c r="B937" t="s">
        <v>13</v>
      </c>
      <c r="C937" t="s">
        <v>14</v>
      </c>
      <c r="D937">
        <v>60000</v>
      </c>
      <c r="E937">
        <v>1</v>
      </c>
      <c r="F937" s="2" t="s">
        <v>45</v>
      </c>
      <c r="G937" t="s">
        <v>22</v>
      </c>
      <c r="H937" t="s">
        <v>16</v>
      </c>
      <c r="I937" t="s">
        <v>17</v>
      </c>
      <c r="J937">
        <v>1</v>
      </c>
      <c r="K937" t="s">
        <v>44</v>
      </c>
      <c r="L937" t="s">
        <v>18</v>
      </c>
      <c r="M937" t="s">
        <v>36</v>
      </c>
      <c r="N937">
        <v>45</v>
      </c>
      <c r="O937" t="s">
        <v>17</v>
      </c>
    </row>
    <row r="938" spans="1:15" x14ac:dyDescent="0.25">
      <c r="A938">
        <v>937</v>
      </c>
      <c r="B938" t="s">
        <v>13</v>
      </c>
      <c r="C938" t="s">
        <v>14</v>
      </c>
      <c r="D938">
        <v>60000</v>
      </c>
      <c r="E938">
        <v>4</v>
      </c>
      <c r="F938" s="2" t="s">
        <v>45</v>
      </c>
      <c r="G938" t="s">
        <v>15</v>
      </c>
      <c r="H938" t="s">
        <v>32</v>
      </c>
      <c r="I938" t="s">
        <v>17</v>
      </c>
      <c r="J938">
        <v>2</v>
      </c>
      <c r="K938" t="s">
        <v>44</v>
      </c>
      <c r="L938" t="s">
        <v>25</v>
      </c>
      <c r="M938" t="s">
        <v>36</v>
      </c>
      <c r="N938">
        <v>60</v>
      </c>
      <c r="O938" t="s">
        <v>20</v>
      </c>
    </row>
    <row r="939" spans="1:15" x14ac:dyDescent="0.25">
      <c r="A939">
        <v>938</v>
      </c>
      <c r="B939" t="s">
        <v>13</v>
      </c>
      <c r="C939" t="s">
        <v>21</v>
      </c>
      <c r="D939">
        <v>70000</v>
      </c>
      <c r="E939">
        <v>4</v>
      </c>
      <c r="F939" s="2" t="s">
        <v>45</v>
      </c>
      <c r="G939" t="s">
        <v>35</v>
      </c>
      <c r="H939" t="s">
        <v>24</v>
      </c>
      <c r="I939" t="s">
        <v>17</v>
      </c>
      <c r="J939">
        <v>0</v>
      </c>
      <c r="K939" t="s">
        <v>43</v>
      </c>
      <c r="L939" t="s">
        <v>18</v>
      </c>
      <c r="M939" t="s">
        <v>36</v>
      </c>
      <c r="N939">
        <v>36</v>
      </c>
      <c r="O939" t="s">
        <v>17</v>
      </c>
    </row>
    <row r="940" spans="1:15" x14ac:dyDescent="0.25">
      <c r="A940">
        <v>939</v>
      </c>
      <c r="B940" t="s">
        <v>13</v>
      </c>
      <c r="C940" t="s">
        <v>14</v>
      </c>
      <c r="D940">
        <v>40000</v>
      </c>
      <c r="E940">
        <v>0</v>
      </c>
      <c r="F940" s="2" t="s">
        <v>46</v>
      </c>
      <c r="G940" t="s">
        <v>31</v>
      </c>
      <c r="H940" t="s">
        <v>16</v>
      </c>
      <c r="I940" t="s">
        <v>17</v>
      </c>
      <c r="J940">
        <v>2</v>
      </c>
      <c r="K940" t="s">
        <v>44</v>
      </c>
      <c r="L940" t="s">
        <v>27</v>
      </c>
      <c r="M940" t="s">
        <v>36</v>
      </c>
      <c r="N940">
        <v>27</v>
      </c>
      <c r="O940" t="s">
        <v>20</v>
      </c>
    </row>
    <row r="941" spans="1:15" x14ac:dyDescent="0.25">
      <c r="A941">
        <v>940</v>
      </c>
      <c r="B941" t="s">
        <v>26</v>
      </c>
      <c r="C941" t="s">
        <v>21</v>
      </c>
      <c r="D941">
        <v>80000</v>
      </c>
      <c r="E941">
        <v>2</v>
      </c>
      <c r="F941" s="2" t="s">
        <v>45</v>
      </c>
      <c r="G941" t="s">
        <v>33</v>
      </c>
      <c r="H941" t="s">
        <v>16</v>
      </c>
      <c r="I941" t="s">
        <v>20</v>
      </c>
      <c r="J941">
        <v>2</v>
      </c>
      <c r="K941" t="s">
        <v>44</v>
      </c>
      <c r="L941" t="s">
        <v>30</v>
      </c>
      <c r="M941" t="s">
        <v>36</v>
      </c>
      <c r="N941">
        <v>50</v>
      </c>
      <c r="O941" t="s">
        <v>20</v>
      </c>
    </row>
    <row r="942" spans="1:15" x14ac:dyDescent="0.25">
      <c r="A942">
        <v>941</v>
      </c>
      <c r="B942" t="s">
        <v>26</v>
      </c>
      <c r="C942" t="s">
        <v>14</v>
      </c>
      <c r="D942">
        <v>60000</v>
      </c>
      <c r="E942">
        <v>1</v>
      </c>
      <c r="F942" s="2" t="s">
        <v>45</v>
      </c>
      <c r="G942" t="s">
        <v>35</v>
      </c>
      <c r="H942" t="s">
        <v>16</v>
      </c>
      <c r="I942" t="s">
        <v>17</v>
      </c>
      <c r="J942">
        <v>0</v>
      </c>
      <c r="K942" t="s">
        <v>43</v>
      </c>
      <c r="L942" t="s">
        <v>30</v>
      </c>
      <c r="M942" t="s">
        <v>36</v>
      </c>
      <c r="N942">
        <v>35</v>
      </c>
      <c r="O942" t="s">
        <v>20</v>
      </c>
    </row>
    <row r="943" spans="1:15" x14ac:dyDescent="0.25">
      <c r="A943">
        <v>942</v>
      </c>
      <c r="B943" t="s">
        <v>13</v>
      </c>
      <c r="C943" t="s">
        <v>14</v>
      </c>
      <c r="D943">
        <v>60000</v>
      </c>
      <c r="E943">
        <v>1</v>
      </c>
      <c r="F943" s="2" t="s">
        <v>45</v>
      </c>
      <c r="G943" t="s">
        <v>35</v>
      </c>
      <c r="H943" t="s">
        <v>16</v>
      </c>
      <c r="I943" t="s">
        <v>17</v>
      </c>
      <c r="J943">
        <v>0</v>
      </c>
      <c r="K943" t="s">
        <v>43</v>
      </c>
      <c r="L943" t="s">
        <v>25</v>
      </c>
      <c r="M943" t="s">
        <v>36</v>
      </c>
      <c r="N943">
        <v>34</v>
      </c>
      <c r="O943" t="s">
        <v>17</v>
      </c>
    </row>
    <row r="944" spans="1:15" x14ac:dyDescent="0.25">
      <c r="A944">
        <v>943</v>
      </c>
      <c r="B944" t="s">
        <v>13</v>
      </c>
      <c r="C944" t="s">
        <v>14</v>
      </c>
      <c r="D944">
        <v>40000</v>
      </c>
      <c r="E944">
        <v>3</v>
      </c>
      <c r="F944" s="2" t="s">
        <v>45</v>
      </c>
      <c r="G944" t="s">
        <v>22</v>
      </c>
      <c r="H944" t="s">
        <v>24</v>
      </c>
      <c r="I944" t="s">
        <v>17</v>
      </c>
      <c r="J944">
        <v>2</v>
      </c>
      <c r="K944" t="s">
        <v>44</v>
      </c>
      <c r="L944" t="s">
        <v>27</v>
      </c>
      <c r="M944" t="s">
        <v>36</v>
      </c>
      <c r="N944">
        <v>54</v>
      </c>
      <c r="O944" t="s">
        <v>20</v>
      </c>
    </row>
    <row r="945" spans="1:15" x14ac:dyDescent="0.25">
      <c r="A945">
        <v>944</v>
      </c>
      <c r="B945" t="s">
        <v>13</v>
      </c>
      <c r="C945" t="s">
        <v>14</v>
      </c>
      <c r="D945">
        <v>60000</v>
      </c>
      <c r="E945">
        <v>4</v>
      </c>
      <c r="F945" s="2" t="s">
        <v>45</v>
      </c>
      <c r="G945" t="s">
        <v>15</v>
      </c>
      <c r="H945" t="s">
        <v>16</v>
      </c>
      <c r="I945" t="s">
        <v>20</v>
      </c>
      <c r="J945">
        <v>2</v>
      </c>
      <c r="K945" t="s">
        <v>44</v>
      </c>
      <c r="L945" t="s">
        <v>18</v>
      </c>
      <c r="M945" t="s">
        <v>36</v>
      </c>
      <c r="N945">
        <v>42</v>
      </c>
      <c r="O945" t="s">
        <v>20</v>
      </c>
    </row>
    <row r="946" spans="1:15" x14ac:dyDescent="0.25">
      <c r="A946">
        <v>945</v>
      </c>
      <c r="B946" t="s">
        <v>13</v>
      </c>
      <c r="C946" t="s">
        <v>14</v>
      </c>
      <c r="D946">
        <v>50000</v>
      </c>
      <c r="E946">
        <v>1</v>
      </c>
      <c r="F946" s="2" t="s">
        <v>45</v>
      </c>
      <c r="G946" t="s">
        <v>15</v>
      </c>
      <c r="H946" t="s">
        <v>16</v>
      </c>
      <c r="I946" t="s">
        <v>17</v>
      </c>
      <c r="J946">
        <v>0</v>
      </c>
      <c r="K946" t="s">
        <v>43</v>
      </c>
      <c r="L946" t="s">
        <v>25</v>
      </c>
      <c r="M946" t="s">
        <v>36</v>
      </c>
      <c r="N946">
        <v>34</v>
      </c>
      <c r="O946" t="s">
        <v>17</v>
      </c>
    </row>
    <row r="947" spans="1:15" x14ac:dyDescent="0.25">
      <c r="A947">
        <v>946</v>
      </c>
      <c r="B947" t="s">
        <v>26</v>
      </c>
      <c r="C947" t="s">
        <v>21</v>
      </c>
      <c r="D947">
        <v>50000</v>
      </c>
      <c r="E947">
        <v>2</v>
      </c>
      <c r="F947" s="2" t="s">
        <v>45</v>
      </c>
      <c r="G947" t="s">
        <v>15</v>
      </c>
      <c r="H947" t="s">
        <v>16</v>
      </c>
      <c r="I947" t="s">
        <v>20</v>
      </c>
      <c r="J947">
        <v>1</v>
      </c>
      <c r="K947" t="s">
        <v>44</v>
      </c>
      <c r="L947" t="s">
        <v>18</v>
      </c>
      <c r="M947" t="s">
        <v>36</v>
      </c>
      <c r="N947">
        <v>38</v>
      </c>
      <c r="O947" t="s">
        <v>17</v>
      </c>
    </row>
    <row r="948" spans="1:15" x14ac:dyDescent="0.25">
      <c r="A948">
        <v>947</v>
      </c>
      <c r="B948" t="s">
        <v>13</v>
      </c>
      <c r="C948" t="s">
        <v>14</v>
      </c>
      <c r="D948">
        <v>90000</v>
      </c>
      <c r="E948">
        <v>5</v>
      </c>
      <c r="F948" s="2" t="s">
        <v>45</v>
      </c>
      <c r="G948" t="s">
        <v>15</v>
      </c>
      <c r="H948" t="s">
        <v>32</v>
      </c>
      <c r="I948" t="s">
        <v>17</v>
      </c>
      <c r="J948">
        <v>2</v>
      </c>
      <c r="K948" t="s">
        <v>44</v>
      </c>
      <c r="L948" t="s">
        <v>30</v>
      </c>
      <c r="M948" t="s">
        <v>36</v>
      </c>
      <c r="N948">
        <v>63</v>
      </c>
      <c r="O948" t="s">
        <v>17</v>
      </c>
    </row>
    <row r="949" spans="1:15" x14ac:dyDescent="0.25">
      <c r="A949">
        <v>948</v>
      </c>
      <c r="B949" t="s">
        <v>26</v>
      </c>
      <c r="C949" t="s">
        <v>14</v>
      </c>
      <c r="D949">
        <v>90000</v>
      </c>
      <c r="E949">
        <v>4</v>
      </c>
      <c r="F949" s="2" t="s">
        <v>45</v>
      </c>
      <c r="G949" t="s">
        <v>31</v>
      </c>
      <c r="H949" t="s">
        <v>24</v>
      </c>
      <c r="I949" t="s">
        <v>20</v>
      </c>
      <c r="J949">
        <v>3</v>
      </c>
      <c r="K949" t="s">
        <v>44</v>
      </c>
      <c r="L949" t="s">
        <v>30</v>
      </c>
      <c r="M949" t="s">
        <v>36</v>
      </c>
      <c r="N949">
        <v>45</v>
      </c>
      <c r="O949" t="s">
        <v>17</v>
      </c>
    </row>
    <row r="950" spans="1:15" x14ac:dyDescent="0.25">
      <c r="A950">
        <v>949</v>
      </c>
      <c r="B950" t="s">
        <v>26</v>
      </c>
      <c r="C950" t="s">
        <v>14</v>
      </c>
      <c r="D950">
        <v>60000</v>
      </c>
      <c r="E950">
        <v>0</v>
      </c>
      <c r="F950" s="2" t="s">
        <v>46</v>
      </c>
      <c r="G950" t="s">
        <v>35</v>
      </c>
      <c r="H950" t="s">
        <v>16</v>
      </c>
      <c r="I950" t="s">
        <v>20</v>
      </c>
      <c r="J950">
        <v>0</v>
      </c>
      <c r="K950" t="s">
        <v>43</v>
      </c>
      <c r="L950" t="s">
        <v>18</v>
      </c>
      <c r="M950" t="s">
        <v>36</v>
      </c>
      <c r="N950">
        <v>40</v>
      </c>
      <c r="O950" t="s">
        <v>20</v>
      </c>
    </row>
    <row r="951" spans="1:15" x14ac:dyDescent="0.25">
      <c r="A951">
        <v>950</v>
      </c>
      <c r="B951" t="s">
        <v>13</v>
      </c>
      <c r="C951" t="s">
        <v>21</v>
      </c>
      <c r="D951">
        <v>70000</v>
      </c>
      <c r="E951">
        <v>2</v>
      </c>
      <c r="F951" s="2" t="s">
        <v>45</v>
      </c>
      <c r="G951" t="s">
        <v>33</v>
      </c>
      <c r="H951" t="s">
        <v>16</v>
      </c>
      <c r="I951" t="s">
        <v>17</v>
      </c>
      <c r="J951">
        <v>2</v>
      </c>
      <c r="K951" t="s">
        <v>44</v>
      </c>
      <c r="L951" t="s">
        <v>34</v>
      </c>
      <c r="M951" t="s">
        <v>36</v>
      </c>
      <c r="N951">
        <v>53</v>
      </c>
      <c r="O951" t="s">
        <v>20</v>
      </c>
    </row>
    <row r="952" spans="1:15" x14ac:dyDescent="0.25">
      <c r="A952">
        <v>951</v>
      </c>
      <c r="B952" t="s">
        <v>26</v>
      </c>
      <c r="C952" t="s">
        <v>14</v>
      </c>
      <c r="D952">
        <v>70000</v>
      </c>
      <c r="E952">
        <v>1</v>
      </c>
      <c r="F952" s="2" t="s">
        <v>45</v>
      </c>
      <c r="G952" t="s">
        <v>35</v>
      </c>
      <c r="H952" t="s">
        <v>24</v>
      </c>
      <c r="I952" t="s">
        <v>17</v>
      </c>
      <c r="J952">
        <v>0</v>
      </c>
      <c r="K952" t="s">
        <v>43</v>
      </c>
      <c r="L952" t="s">
        <v>25</v>
      </c>
      <c r="M952" t="s">
        <v>36</v>
      </c>
      <c r="N952">
        <v>34</v>
      </c>
      <c r="O952" t="s">
        <v>20</v>
      </c>
    </row>
    <row r="953" spans="1:15" x14ac:dyDescent="0.25">
      <c r="A953">
        <v>952</v>
      </c>
      <c r="B953" t="s">
        <v>13</v>
      </c>
      <c r="C953" t="s">
        <v>21</v>
      </c>
      <c r="D953">
        <v>70000</v>
      </c>
      <c r="E953">
        <v>0</v>
      </c>
      <c r="F953" s="2" t="s">
        <v>46</v>
      </c>
      <c r="G953" t="s">
        <v>15</v>
      </c>
      <c r="H953" t="s">
        <v>24</v>
      </c>
      <c r="I953" t="s">
        <v>20</v>
      </c>
      <c r="J953">
        <v>1</v>
      </c>
      <c r="K953" t="s">
        <v>44</v>
      </c>
      <c r="L953" t="s">
        <v>18</v>
      </c>
      <c r="M953" t="s">
        <v>36</v>
      </c>
      <c r="N953">
        <v>38</v>
      </c>
      <c r="O953" t="s">
        <v>20</v>
      </c>
    </row>
    <row r="954" spans="1:15" x14ac:dyDescent="0.25">
      <c r="A954">
        <v>953</v>
      </c>
      <c r="B954" t="s">
        <v>13</v>
      </c>
      <c r="C954" t="s">
        <v>14</v>
      </c>
      <c r="D954">
        <v>70000</v>
      </c>
      <c r="E954">
        <v>4</v>
      </c>
      <c r="F954" s="2" t="s">
        <v>45</v>
      </c>
      <c r="G954" t="s">
        <v>15</v>
      </c>
      <c r="H954" t="s">
        <v>32</v>
      </c>
      <c r="I954" t="s">
        <v>20</v>
      </c>
      <c r="J954">
        <v>1</v>
      </c>
      <c r="K954" t="s">
        <v>44</v>
      </c>
      <c r="L954" t="s">
        <v>30</v>
      </c>
      <c r="M954" t="s">
        <v>36</v>
      </c>
      <c r="N954">
        <v>59</v>
      </c>
      <c r="O954" t="s">
        <v>20</v>
      </c>
    </row>
    <row r="955" spans="1:15" x14ac:dyDescent="0.25">
      <c r="A955">
        <v>954</v>
      </c>
      <c r="B955" t="s">
        <v>26</v>
      </c>
      <c r="C955" t="s">
        <v>14</v>
      </c>
      <c r="D955">
        <v>40000</v>
      </c>
      <c r="E955">
        <v>3</v>
      </c>
      <c r="F955" s="2" t="s">
        <v>45</v>
      </c>
      <c r="G955" t="s">
        <v>22</v>
      </c>
      <c r="H955" t="s">
        <v>23</v>
      </c>
      <c r="I955" t="s">
        <v>17</v>
      </c>
      <c r="J955">
        <v>1</v>
      </c>
      <c r="K955" t="s">
        <v>44</v>
      </c>
      <c r="L955" t="s">
        <v>30</v>
      </c>
      <c r="M955" t="s">
        <v>36</v>
      </c>
      <c r="N955">
        <v>30</v>
      </c>
      <c r="O955" t="s">
        <v>17</v>
      </c>
    </row>
    <row r="956" spans="1:15" x14ac:dyDescent="0.25">
      <c r="A956">
        <v>955</v>
      </c>
      <c r="B956" t="s">
        <v>13</v>
      </c>
      <c r="C956" t="s">
        <v>21</v>
      </c>
      <c r="D956">
        <v>60000</v>
      </c>
      <c r="E956">
        <v>1</v>
      </c>
      <c r="F956" s="2" t="s">
        <v>45</v>
      </c>
      <c r="G956" t="s">
        <v>15</v>
      </c>
      <c r="H956" t="s">
        <v>24</v>
      </c>
      <c r="I956" t="s">
        <v>17</v>
      </c>
      <c r="J956">
        <v>1</v>
      </c>
      <c r="K956" t="s">
        <v>44</v>
      </c>
      <c r="L956" t="s">
        <v>18</v>
      </c>
      <c r="M956" t="s">
        <v>36</v>
      </c>
      <c r="N956">
        <v>48</v>
      </c>
      <c r="O956" t="s">
        <v>17</v>
      </c>
    </row>
    <row r="957" spans="1:15" x14ac:dyDescent="0.25">
      <c r="A957">
        <v>956</v>
      </c>
      <c r="B957" t="s">
        <v>13</v>
      </c>
      <c r="C957" t="s">
        <v>14</v>
      </c>
      <c r="D957">
        <v>40000</v>
      </c>
      <c r="E957">
        <v>4</v>
      </c>
      <c r="F957" s="2" t="s">
        <v>45</v>
      </c>
      <c r="G957" t="s">
        <v>31</v>
      </c>
      <c r="H957" t="s">
        <v>16</v>
      </c>
      <c r="I957" t="s">
        <v>17</v>
      </c>
      <c r="J957">
        <v>2</v>
      </c>
      <c r="K957" t="s">
        <v>44</v>
      </c>
      <c r="L957" t="s">
        <v>25</v>
      </c>
      <c r="M957" t="s">
        <v>36</v>
      </c>
      <c r="N957">
        <v>43</v>
      </c>
      <c r="O957" t="s">
        <v>20</v>
      </c>
    </row>
    <row r="958" spans="1:15" x14ac:dyDescent="0.25">
      <c r="A958">
        <v>957</v>
      </c>
      <c r="B958" t="s">
        <v>13</v>
      </c>
      <c r="C958" t="s">
        <v>14</v>
      </c>
      <c r="D958">
        <v>70000</v>
      </c>
      <c r="E958">
        <v>4</v>
      </c>
      <c r="F958" s="2" t="s">
        <v>45</v>
      </c>
      <c r="G958" t="s">
        <v>35</v>
      </c>
      <c r="H958" t="s">
        <v>24</v>
      </c>
      <c r="I958" t="s">
        <v>17</v>
      </c>
      <c r="J958">
        <v>0</v>
      </c>
      <c r="K958" t="s">
        <v>43</v>
      </c>
      <c r="L958" t="s">
        <v>25</v>
      </c>
      <c r="M958" t="s">
        <v>36</v>
      </c>
      <c r="N958">
        <v>35</v>
      </c>
      <c r="O958" t="s">
        <v>17</v>
      </c>
    </row>
    <row r="959" spans="1:15" x14ac:dyDescent="0.25">
      <c r="A959">
        <v>958</v>
      </c>
      <c r="B959" t="s">
        <v>13</v>
      </c>
      <c r="C959" t="s">
        <v>14</v>
      </c>
      <c r="D959">
        <v>60000</v>
      </c>
      <c r="E959">
        <v>0</v>
      </c>
      <c r="F959" s="2" t="s">
        <v>46</v>
      </c>
      <c r="G959" t="s">
        <v>22</v>
      </c>
      <c r="H959" t="s">
        <v>24</v>
      </c>
      <c r="I959" t="s">
        <v>17</v>
      </c>
      <c r="J959">
        <v>2</v>
      </c>
      <c r="K959" t="s">
        <v>44</v>
      </c>
      <c r="L959" t="s">
        <v>27</v>
      </c>
      <c r="M959" t="s">
        <v>36</v>
      </c>
      <c r="N959">
        <v>30</v>
      </c>
      <c r="O959" t="s">
        <v>20</v>
      </c>
    </row>
    <row r="960" spans="1:15" x14ac:dyDescent="0.25">
      <c r="A960">
        <v>959</v>
      </c>
      <c r="B960" t="s">
        <v>13</v>
      </c>
      <c r="C960" t="s">
        <v>21</v>
      </c>
      <c r="D960">
        <v>90000</v>
      </c>
      <c r="E960">
        <v>5</v>
      </c>
      <c r="F960" s="2" t="s">
        <v>45</v>
      </c>
      <c r="G960" t="s">
        <v>35</v>
      </c>
      <c r="H960" t="s">
        <v>24</v>
      </c>
      <c r="I960" t="s">
        <v>17</v>
      </c>
      <c r="J960">
        <v>0</v>
      </c>
      <c r="K960" t="s">
        <v>43</v>
      </c>
      <c r="L960" t="s">
        <v>18</v>
      </c>
      <c r="M960" t="s">
        <v>36</v>
      </c>
      <c r="N960">
        <v>47</v>
      </c>
      <c r="O960" t="s">
        <v>17</v>
      </c>
    </row>
    <row r="961" spans="1:15" x14ac:dyDescent="0.25">
      <c r="A961">
        <v>960</v>
      </c>
      <c r="B961" t="s">
        <v>13</v>
      </c>
      <c r="C961" t="s">
        <v>21</v>
      </c>
      <c r="D961">
        <v>60000</v>
      </c>
      <c r="E961">
        <v>1</v>
      </c>
      <c r="F961" s="2" t="s">
        <v>45</v>
      </c>
      <c r="G961" t="s">
        <v>22</v>
      </c>
      <c r="H961" t="s">
        <v>16</v>
      </c>
      <c r="I961" t="s">
        <v>17</v>
      </c>
      <c r="J961">
        <v>1</v>
      </c>
      <c r="K961" t="s">
        <v>44</v>
      </c>
      <c r="L961" t="s">
        <v>25</v>
      </c>
      <c r="M961" t="s">
        <v>36</v>
      </c>
      <c r="N961">
        <v>45</v>
      </c>
      <c r="O961" t="s">
        <v>17</v>
      </c>
    </row>
    <row r="962" spans="1:15" x14ac:dyDescent="0.25">
      <c r="A962">
        <v>961</v>
      </c>
      <c r="B962" t="s">
        <v>26</v>
      </c>
      <c r="C962" t="s">
        <v>21</v>
      </c>
      <c r="D962">
        <v>100000</v>
      </c>
      <c r="E962">
        <v>0</v>
      </c>
      <c r="F962" s="2" t="s">
        <v>46</v>
      </c>
      <c r="G962" t="s">
        <v>22</v>
      </c>
      <c r="H962" t="s">
        <v>24</v>
      </c>
      <c r="I962" t="s">
        <v>20</v>
      </c>
      <c r="J962">
        <v>4</v>
      </c>
      <c r="K962" t="s">
        <v>44</v>
      </c>
      <c r="L962" t="s">
        <v>30</v>
      </c>
      <c r="M962" t="s">
        <v>36</v>
      </c>
      <c r="N962">
        <v>45</v>
      </c>
      <c r="O962" t="s">
        <v>20</v>
      </c>
    </row>
    <row r="963" spans="1:15" x14ac:dyDescent="0.25">
      <c r="A963">
        <v>962</v>
      </c>
      <c r="B963" t="s">
        <v>13</v>
      </c>
      <c r="C963" t="s">
        <v>14</v>
      </c>
      <c r="D963">
        <v>120000</v>
      </c>
      <c r="E963">
        <v>2</v>
      </c>
      <c r="F963" s="2" t="s">
        <v>45</v>
      </c>
      <c r="G963" t="s">
        <v>15</v>
      </c>
      <c r="H963" t="s">
        <v>32</v>
      </c>
      <c r="I963" t="s">
        <v>17</v>
      </c>
      <c r="J963">
        <v>3</v>
      </c>
      <c r="K963" t="s">
        <v>44</v>
      </c>
      <c r="L963" t="s">
        <v>27</v>
      </c>
      <c r="M963" t="s">
        <v>36</v>
      </c>
      <c r="N963">
        <v>62</v>
      </c>
      <c r="O963" t="s">
        <v>20</v>
      </c>
    </row>
    <row r="964" spans="1:15" x14ac:dyDescent="0.25">
      <c r="A964">
        <v>963</v>
      </c>
      <c r="B964" t="s">
        <v>13</v>
      </c>
      <c r="C964" t="s">
        <v>21</v>
      </c>
      <c r="D964">
        <v>60000</v>
      </c>
      <c r="E964">
        <v>2</v>
      </c>
      <c r="F964" s="2" t="s">
        <v>45</v>
      </c>
      <c r="G964" t="s">
        <v>22</v>
      </c>
      <c r="H964" t="s">
        <v>24</v>
      </c>
      <c r="I964" t="s">
        <v>17</v>
      </c>
      <c r="J964">
        <v>2</v>
      </c>
      <c r="K964" t="s">
        <v>44</v>
      </c>
      <c r="L964" t="s">
        <v>34</v>
      </c>
      <c r="M964" t="s">
        <v>36</v>
      </c>
      <c r="N964">
        <v>55</v>
      </c>
      <c r="O964" t="s">
        <v>20</v>
      </c>
    </row>
    <row r="965" spans="1:15" x14ac:dyDescent="0.25">
      <c r="A965">
        <v>964</v>
      </c>
      <c r="B965" t="s">
        <v>13</v>
      </c>
      <c r="C965" t="s">
        <v>14</v>
      </c>
      <c r="D965">
        <v>90000</v>
      </c>
      <c r="E965">
        <v>5</v>
      </c>
      <c r="F965" s="2" t="s">
        <v>45</v>
      </c>
      <c r="G965" t="s">
        <v>15</v>
      </c>
      <c r="H965" t="s">
        <v>32</v>
      </c>
      <c r="I965" t="s">
        <v>17</v>
      </c>
      <c r="J965">
        <v>2</v>
      </c>
      <c r="K965" t="s">
        <v>44</v>
      </c>
      <c r="L965" t="s">
        <v>30</v>
      </c>
      <c r="M965" t="s">
        <v>36</v>
      </c>
      <c r="N965">
        <v>66</v>
      </c>
      <c r="O965" t="s">
        <v>17</v>
      </c>
    </row>
    <row r="966" spans="1:15" x14ac:dyDescent="0.25">
      <c r="A966">
        <v>965</v>
      </c>
      <c r="B966" t="s">
        <v>26</v>
      </c>
      <c r="C966" t="s">
        <v>21</v>
      </c>
      <c r="D966">
        <v>70000</v>
      </c>
      <c r="E966">
        <v>4</v>
      </c>
      <c r="F966" s="2" t="s">
        <v>45</v>
      </c>
      <c r="G966" t="s">
        <v>22</v>
      </c>
      <c r="H966" t="s">
        <v>24</v>
      </c>
      <c r="I966" t="s">
        <v>17</v>
      </c>
      <c r="J966">
        <v>1</v>
      </c>
      <c r="K966" t="s">
        <v>44</v>
      </c>
      <c r="L966" t="s">
        <v>34</v>
      </c>
      <c r="M966" t="s">
        <v>36</v>
      </c>
      <c r="N966">
        <v>56</v>
      </c>
      <c r="O966" t="s">
        <v>20</v>
      </c>
    </row>
    <row r="967" spans="1:15" x14ac:dyDescent="0.25">
      <c r="A967">
        <v>966</v>
      </c>
      <c r="B967" t="s">
        <v>26</v>
      </c>
      <c r="C967" t="s">
        <v>14</v>
      </c>
      <c r="D967">
        <v>50000</v>
      </c>
      <c r="E967">
        <v>3</v>
      </c>
      <c r="F967" s="2" t="s">
        <v>45</v>
      </c>
      <c r="G967" t="s">
        <v>15</v>
      </c>
      <c r="H967" t="s">
        <v>16</v>
      </c>
      <c r="I967" t="s">
        <v>20</v>
      </c>
      <c r="J967">
        <v>1</v>
      </c>
      <c r="K967" t="s">
        <v>44</v>
      </c>
      <c r="L967" t="s">
        <v>18</v>
      </c>
      <c r="M967" t="s">
        <v>36</v>
      </c>
      <c r="N967">
        <v>40</v>
      </c>
      <c r="O967" t="s">
        <v>20</v>
      </c>
    </row>
    <row r="968" spans="1:15" x14ac:dyDescent="0.25">
      <c r="A968">
        <v>967</v>
      </c>
      <c r="B968" t="s">
        <v>13</v>
      </c>
      <c r="C968" t="s">
        <v>14</v>
      </c>
      <c r="D968">
        <v>50000</v>
      </c>
      <c r="E968">
        <v>0</v>
      </c>
      <c r="F968" s="2" t="s">
        <v>46</v>
      </c>
      <c r="G968" t="s">
        <v>35</v>
      </c>
      <c r="H968" t="s">
        <v>16</v>
      </c>
      <c r="I968" t="s">
        <v>17</v>
      </c>
      <c r="J968">
        <v>0</v>
      </c>
      <c r="K968" t="s">
        <v>43</v>
      </c>
      <c r="L968" t="s">
        <v>30</v>
      </c>
      <c r="M968" t="s">
        <v>36</v>
      </c>
      <c r="N968">
        <v>33</v>
      </c>
      <c r="O968" t="s">
        <v>17</v>
      </c>
    </row>
    <row r="969" spans="1:15" x14ac:dyDescent="0.25">
      <c r="A969">
        <v>968</v>
      </c>
      <c r="B969" t="s">
        <v>13</v>
      </c>
      <c r="C969" t="s">
        <v>21</v>
      </c>
      <c r="D969">
        <v>80000</v>
      </c>
      <c r="E969">
        <v>3</v>
      </c>
      <c r="F969" s="2" t="s">
        <v>45</v>
      </c>
      <c r="G969" t="s">
        <v>15</v>
      </c>
      <c r="H969" t="s">
        <v>32</v>
      </c>
      <c r="I969" t="s">
        <v>17</v>
      </c>
      <c r="J969">
        <v>1</v>
      </c>
      <c r="K969" t="s">
        <v>44</v>
      </c>
      <c r="L969" t="s">
        <v>30</v>
      </c>
      <c r="M969" t="s">
        <v>36</v>
      </c>
      <c r="N969">
        <v>56</v>
      </c>
      <c r="O969" t="s">
        <v>20</v>
      </c>
    </row>
    <row r="970" spans="1:15" x14ac:dyDescent="0.25">
      <c r="A970">
        <v>969</v>
      </c>
      <c r="B970" t="s">
        <v>26</v>
      </c>
      <c r="C970" t="s">
        <v>21</v>
      </c>
      <c r="D970">
        <v>30000</v>
      </c>
      <c r="E970">
        <v>0</v>
      </c>
      <c r="F970" s="2" t="s">
        <v>46</v>
      </c>
      <c r="G970" t="s">
        <v>33</v>
      </c>
      <c r="H970" t="s">
        <v>23</v>
      </c>
      <c r="I970" t="s">
        <v>20</v>
      </c>
      <c r="J970">
        <v>2</v>
      </c>
      <c r="K970" t="s">
        <v>44</v>
      </c>
      <c r="L970" t="s">
        <v>27</v>
      </c>
      <c r="M970" t="s">
        <v>36</v>
      </c>
      <c r="N970">
        <v>27</v>
      </c>
      <c r="O970" t="s">
        <v>20</v>
      </c>
    </row>
    <row r="971" spans="1:15" x14ac:dyDescent="0.25">
      <c r="A971">
        <v>970</v>
      </c>
      <c r="B971" t="s">
        <v>13</v>
      </c>
      <c r="C971" t="s">
        <v>21</v>
      </c>
      <c r="D971">
        <v>60000</v>
      </c>
      <c r="E971">
        <v>0</v>
      </c>
      <c r="F971" s="2" t="s">
        <v>46</v>
      </c>
      <c r="G971" t="s">
        <v>35</v>
      </c>
      <c r="H971" t="s">
        <v>24</v>
      </c>
      <c r="I971" t="s">
        <v>20</v>
      </c>
      <c r="J971">
        <v>0</v>
      </c>
      <c r="K971" t="s">
        <v>43</v>
      </c>
      <c r="L971" t="s">
        <v>18</v>
      </c>
      <c r="M971" t="s">
        <v>36</v>
      </c>
      <c r="N971">
        <v>39</v>
      </c>
      <c r="O971" t="s">
        <v>20</v>
      </c>
    </row>
    <row r="972" spans="1:15" x14ac:dyDescent="0.25">
      <c r="A972">
        <v>971</v>
      </c>
      <c r="B972" t="s">
        <v>13</v>
      </c>
      <c r="C972" t="s">
        <v>14</v>
      </c>
      <c r="D972">
        <v>60000</v>
      </c>
      <c r="E972">
        <v>0</v>
      </c>
      <c r="F972" s="2" t="s">
        <v>46</v>
      </c>
      <c r="G972" t="s">
        <v>22</v>
      </c>
      <c r="H972" t="s">
        <v>16</v>
      </c>
      <c r="I972" t="s">
        <v>17</v>
      </c>
      <c r="J972">
        <v>2</v>
      </c>
      <c r="K972" t="s">
        <v>44</v>
      </c>
      <c r="L972" t="s">
        <v>27</v>
      </c>
      <c r="M972" t="s">
        <v>36</v>
      </c>
      <c r="N972">
        <v>31</v>
      </c>
      <c r="O972" t="s">
        <v>20</v>
      </c>
    </row>
    <row r="973" spans="1:15" x14ac:dyDescent="0.25">
      <c r="A973">
        <v>972</v>
      </c>
      <c r="B973" t="s">
        <v>26</v>
      </c>
      <c r="C973" t="s">
        <v>14</v>
      </c>
      <c r="D973">
        <v>60000</v>
      </c>
      <c r="E973">
        <v>2</v>
      </c>
      <c r="F973" s="2" t="s">
        <v>45</v>
      </c>
      <c r="G973" t="s">
        <v>33</v>
      </c>
      <c r="H973" t="s">
        <v>16</v>
      </c>
      <c r="I973" t="s">
        <v>20</v>
      </c>
      <c r="J973">
        <v>2</v>
      </c>
      <c r="K973" t="s">
        <v>44</v>
      </c>
      <c r="L973" t="s">
        <v>30</v>
      </c>
      <c r="M973" t="s">
        <v>36</v>
      </c>
      <c r="N973">
        <v>51</v>
      </c>
      <c r="O973" t="s">
        <v>20</v>
      </c>
    </row>
    <row r="974" spans="1:15" x14ac:dyDescent="0.25">
      <c r="A974">
        <v>973</v>
      </c>
      <c r="B974" t="s">
        <v>13</v>
      </c>
      <c r="C974" t="s">
        <v>14</v>
      </c>
      <c r="D974">
        <v>30000</v>
      </c>
      <c r="E974">
        <v>1</v>
      </c>
      <c r="F974" s="2" t="s">
        <v>45</v>
      </c>
      <c r="G974" t="s">
        <v>31</v>
      </c>
      <c r="H974" t="s">
        <v>23</v>
      </c>
      <c r="I974" t="s">
        <v>17</v>
      </c>
      <c r="J974">
        <v>1</v>
      </c>
      <c r="K974" t="s">
        <v>44</v>
      </c>
      <c r="L974" t="s">
        <v>27</v>
      </c>
      <c r="M974" t="s">
        <v>36</v>
      </c>
      <c r="N974">
        <v>52</v>
      </c>
      <c r="O974" t="s">
        <v>20</v>
      </c>
    </row>
    <row r="975" spans="1:15" x14ac:dyDescent="0.25">
      <c r="A975">
        <v>974</v>
      </c>
      <c r="B975" t="s">
        <v>13</v>
      </c>
      <c r="C975" t="s">
        <v>21</v>
      </c>
      <c r="D975">
        <v>60000</v>
      </c>
      <c r="E975">
        <v>1</v>
      </c>
      <c r="F975" s="2" t="s">
        <v>45</v>
      </c>
      <c r="G975" t="s">
        <v>22</v>
      </c>
      <c r="H975" t="s">
        <v>16</v>
      </c>
      <c r="I975" t="s">
        <v>20</v>
      </c>
      <c r="J975">
        <v>1</v>
      </c>
      <c r="K975" t="s">
        <v>44</v>
      </c>
      <c r="L975" t="s">
        <v>18</v>
      </c>
      <c r="M975" t="s">
        <v>36</v>
      </c>
      <c r="N975">
        <v>47</v>
      </c>
      <c r="O975" t="s">
        <v>20</v>
      </c>
    </row>
    <row r="976" spans="1:15" x14ac:dyDescent="0.25">
      <c r="A976">
        <v>975</v>
      </c>
      <c r="B976" t="s">
        <v>13</v>
      </c>
      <c r="C976" t="s">
        <v>21</v>
      </c>
      <c r="D976">
        <v>70000</v>
      </c>
      <c r="E976">
        <v>3</v>
      </c>
      <c r="F976" s="2" t="s">
        <v>45</v>
      </c>
      <c r="G976" t="s">
        <v>35</v>
      </c>
      <c r="H976" t="s">
        <v>32</v>
      </c>
      <c r="I976" t="s">
        <v>17</v>
      </c>
      <c r="J976">
        <v>2</v>
      </c>
      <c r="K976" t="s">
        <v>44</v>
      </c>
      <c r="L976" t="s">
        <v>27</v>
      </c>
      <c r="M976" t="s">
        <v>36</v>
      </c>
      <c r="N976">
        <v>53</v>
      </c>
      <c r="O976" t="s">
        <v>17</v>
      </c>
    </row>
    <row r="977" spans="1:15" x14ac:dyDescent="0.25">
      <c r="A977">
        <v>976</v>
      </c>
      <c r="B977" t="s">
        <v>13</v>
      </c>
      <c r="C977" t="s">
        <v>21</v>
      </c>
      <c r="D977">
        <v>70000</v>
      </c>
      <c r="E977">
        <v>3</v>
      </c>
      <c r="F977" s="2" t="s">
        <v>45</v>
      </c>
      <c r="G977" t="s">
        <v>35</v>
      </c>
      <c r="H977" t="s">
        <v>24</v>
      </c>
      <c r="I977" t="s">
        <v>17</v>
      </c>
      <c r="J977">
        <v>0</v>
      </c>
      <c r="K977" t="s">
        <v>43</v>
      </c>
      <c r="L977" t="s">
        <v>18</v>
      </c>
      <c r="M977" t="s">
        <v>36</v>
      </c>
      <c r="N977">
        <v>35</v>
      </c>
      <c r="O977" t="s">
        <v>17</v>
      </c>
    </row>
    <row r="978" spans="1:15" x14ac:dyDescent="0.25">
      <c r="A978">
        <v>977</v>
      </c>
      <c r="B978" t="s">
        <v>13</v>
      </c>
      <c r="C978" t="s">
        <v>14</v>
      </c>
      <c r="D978">
        <v>60000</v>
      </c>
      <c r="E978">
        <v>3</v>
      </c>
      <c r="F978" s="2" t="s">
        <v>45</v>
      </c>
      <c r="G978" t="s">
        <v>15</v>
      </c>
      <c r="H978" t="s">
        <v>32</v>
      </c>
      <c r="I978" t="s">
        <v>17</v>
      </c>
      <c r="J978">
        <v>2</v>
      </c>
      <c r="K978" t="s">
        <v>44</v>
      </c>
      <c r="L978" t="s">
        <v>34</v>
      </c>
      <c r="M978" t="s">
        <v>36</v>
      </c>
      <c r="N978">
        <v>66</v>
      </c>
      <c r="O978" t="s">
        <v>20</v>
      </c>
    </row>
    <row r="979" spans="1:15" x14ac:dyDescent="0.25">
      <c r="A979">
        <v>978</v>
      </c>
      <c r="B979" t="s">
        <v>26</v>
      </c>
      <c r="C979" t="s">
        <v>14</v>
      </c>
      <c r="D979">
        <v>80000</v>
      </c>
      <c r="E979">
        <v>4</v>
      </c>
      <c r="F979" s="2" t="s">
        <v>45</v>
      </c>
      <c r="G979" t="s">
        <v>35</v>
      </c>
      <c r="H979" t="s">
        <v>32</v>
      </c>
      <c r="I979" t="s">
        <v>17</v>
      </c>
      <c r="J979">
        <v>2</v>
      </c>
      <c r="K979" t="s">
        <v>44</v>
      </c>
      <c r="L979" t="s">
        <v>27</v>
      </c>
      <c r="M979" t="s">
        <v>36</v>
      </c>
      <c r="N979">
        <v>65</v>
      </c>
      <c r="O979" t="s">
        <v>20</v>
      </c>
    </row>
    <row r="980" spans="1:15" x14ac:dyDescent="0.25">
      <c r="A980">
        <v>979</v>
      </c>
      <c r="B980" t="s">
        <v>13</v>
      </c>
      <c r="C980" t="s">
        <v>21</v>
      </c>
      <c r="D980">
        <v>80000</v>
      </c>
      <c r="E980">
        <v>5</v>
      </c>
      <c r="F980" s="2" t="s">
        <v>45</v>
      </c>
      <c r="G980" t="s">
        <v>22</v>
      </c>
      <c r="H980" t="s">
        <v>24</v>
      </c>
      <c r="I980" t="s">
        <v>17</v>
      </c>
      <c r="J980">
        <v>3</v>
      </c>
      <c r="K980" t="s">
        <v>44</v>
      </c>
      <c r="L980" t="s">
        <v>27</v>
      </c>
      <c r="M980" t="s">
        <v>36</v>
      </c>
      <c r="N980">
        <v>45</v>
      </c>
      <c r="O980" t="s">
        <v>20</v>
      </c>
    </row>
    <row r="981" spans="1:15" x14ac:dyDescent="0.25">
      <c r="A981">
        <v>980</v>
      </c>
      <c r="B981" t="s">
        <v>26</v>
      </c>
      <c r="C981" t="s">
        <v>21</v>
      </c>
      <c r="D981">
        <v>40000</v>
      </c>
      <c r="E981">
        <v>0</v>
      </c>
      <c r="F981" s="2" t="s">
        <v>46</v>
      </c>
      <c r="G981" t="s">
        <v>31</v>
      </c>
      <c r="H981" t="s">
        <v>16</v>
      </c>
      <c r="I981" t="s">
        <v>17</v>
      </c>
      <c r="J981">
        <v>1</v>
      </c>
      <c r="K981" t="s">
        <v>44</v>
      </c>
      <c r="L981" t="s">
        <v>27</v>
      </c>
      <c r="M981" t="s">
        <v>36</v>
      </c>
      <c r="N981">
        <v>31</v>
      </c>
      <c r="O981" t="s">
        <v>20</v>
      </c>
    </row>
    <row r="982" spans="1:15" x14ac:dyDescent="0.25">
      <c r="A982">
        <v>981</v>
      </c>
      <c r="B982" t="s">
        <v>26</v>
      </c>
      <c r="C982" t="s">
        <v>14</v>
      </c>
      <c r="D982">
        <v>80000</v>
      </c>
      <c r="E982">
        <v>3</v>
      </c>
      <c r="F982" s="2" t="s">
        <v>45</v>
      </c>
      <c r="G982" t="s">
        <v>15</v>
      </c>
      <c r="H982" t="s">
        <v>16</v>
      </c>
      <c r="I982" t="s">
        <v>17</v>
      </c>
      <c r="J982">
        <v>3</v>
      </c>
      <c r="K982" t="s">
        <v>44</v>
      </c>
      <c r="L982" t="s">
        <v>34</v>
      </c>
      <c r="M982" t="s">
        <v>36</v>
      </c>
      <c r="N982">
        <v>40</v>
      </c>
      <c r="O982" t="s">
        <v>17</v>
      </c>
    </row>
    <row r="983" spans="1:15" x14ac:dyDescent="0.25">
      <c r="A983">
        <v>982</v>
      </c>
      <c r="B983" t="s">
        <v>13</v>
      </c>
      <c r="C983" t="s">
        <v>21</v>
      </c>
      <c r="D983">
        <v>110000</v>
      </c>
      <c r="E983">
        <v>5</v>
      </c>
      <c r="F983" s="2" t="s">
        <v>45</v>
      </c>
      <c r="G983" t="s">
        <v>22</v>
      </c>
      <c r="H983" t="s">
        <v>24</v>
      </c>
      <c r="I983" t="s">
        <v>17</v>
      </c>
      <c r="J983">
        <v>4</v>
      </c>
      <c r="K983" t="s">
        <v>44</v>
      </c>
      <c r="L983" t="s">
        <v>25</v>
      </c>
      <c r="M983" t="s">
        <v>36</v>
      </c>
      <c r="N983">
        <v>46</v>
      </c>
      <c r="O983" t="s">
        <v>20</v>
      </c>
    </row>
    <row r="984" spans="1:15" x14ac:dyDescent="0.25">
      <c r="A984">
        <v>983</v>
      </c>
      <c r="B984" t="s">
        <v>26</v>
      </c>
      <c r="C984" t="s">
        <v>21</v>
      </c>
      <c r="D984">
        <v>40000</v>
      </c>
      <c r="E984">
        <v>2</v>
      </c>
      <c r="F984" s="2" t="s">
        <v>45</v>
      </c>
      <c r="G984" t="s">
        <v>22</v>
      </c>
      <c r="H984" t="s">
        <v>23</v>
      </c>
      <c r="I984" t="s">
        <v>20</v>
      </c>
      <c r="J984">
        <v>1</v>
      </c>
      <c r="K984" t="s">
        <v>44</v>
      </c>
      <c r="L984" t="s">
        <v>30</v>
      </c>
      <c r="M984" t="s">
        <v>36</v>
      </c>
      <c r="N984">
        <v>47</v>
      </c>
      <c r="O984" t="s">
        <v>17</v>
      </c>
    </row>
    <row r="985" spans="1:15" x14ac:dyDescent="0.25">
      <c r="A985">
        <v>984</v>
      </c>
      <c r="B985" t="s">
        <v>13</v>
      </c>
      <c r="C985" t="s">
        <v>21</v>
      </c>
      <c r="D985">
        <v>130000</v>
      </c>
      <c r="E985">
        <v>2</v>
      </c>
      <c r="F985" s="2" t="s">
        <v>45</v>
      </c>
      <c r="G985" t="s">
        <v>35</v>
      </c>
      <c r="H985" t="s">
        <v>32</v>
      </c>
      <c r="I985" t="s">
        <v>17</v>
      </c>
      <c r="J985">
        <v>2</v>
      </c>
      <c r="K985" t="s">
        <v>44</v>
      </c>
      <c r="L985" t="s">
        <v>18</v>
      </c>
      <c r="M985" t="s">
        <v>36</v>
      </c>
      <c r="N985">
        <v>41</v>
      </c>
      <c r="O985" t="s">
        <v>20</v>
      </c>
    </row>
    <row r="986" spans="1:15" x14ac:dyDescent="0.25">
      <c r="A986">
        <v>985</v>
      </c>
      <c r="B986" t="s">
        <v>13</v>
      </c>
      <c r="C986" t="s">
        <v>21</v>
      </c>
      <c r="D986">
        <v>60000</v>
      </c>
      <c r="E986">
        <v>2</v>
      </c>
      <c r="F986" s="2" t="s">
        <v>45</v>
      </c>
      <c r="G986" t="s">
        <v>31</v>
      </c>
      <c r="H986" t="s">
        <v>24</v>
      </c>
      <c r="I986" t="s">
        <v>20</v>
      </c>
      <c r="J986">
        <v>2</v>
      </c>
      <c r="K986" t="s">
        <v>44</v>
      </c>
      <c r="L986" t="s">
        <v>30</v>
      </c>
      <c r="M986" t="s">
        <v>36</v>
      </c>
      <c r="N986">
        <v>48</v>
      </c>
      <c r="O986" t="s">
        <v>17</v>
      </c>
    </row>
    <row r="987" spans="1:15" x14ac:dyDescent="0.25">
      <c r="A987">
        <v>986</v>
      </c>
      <c r="B987" t="s">
        <v>26</v>
      </c>
      <c r="C987" t="s">
        <v>14</v>
      </c>
      <c r="D987">
        <v>50000</v>
      </c>
      <c r="E987">
        <v>4</v>
      </c>
      <c r="F987" s="2" t="s">
        <v>45</v>
      </c>
      <c r="G987" t="s">
        <v>15</v>
      </c>
      <c r="H987" t="s">
        <v>16</v>
      </c>
      <c r="I987" t="s">
        <v>17</v>
      </c>
      <c r="J987">
        <v>2</v>
      </c>
      <c r="K987" t="s">
        <v>44</v>
      </c>
      <c r="L987" t="s">
        <v>18</v>
      </c>
      <c r="M987" t="s">
        <v>36</v>
      </c>
      <c r="N987">
        <v>42</v>
      </c>
      <c r="O987" t="s">
        <v>20</v>
      </c>
    </row>
    <row r="988" spans="1:15" x14ac:dyDescent="0.25">
      <c r="A988">
        <v>987</v>
      </c>
      <c r="B988" t="s">
        <v>26</v>
      </c>
      <c r="C988" t="s">
        <v>21</v>
      </c>
      <c r="D988">
        <v>40000</v>
      </c>
      <c r="E988">
        <v>5</v>
      </c>
      <c r="F988" s="2" t="s">
        <v>45</v>
      </c>
      <c r="G988" t="s">
        <v>31</v>
      </c>
      <c r="H988" t="s">
        <v>24</v>
      </c>
      <c r="I988" t="s">
        <v>17</v>
      </c>
      <c r="J988">
        <v>4</v>
      </c>
      <c r="K988" t="s">
        <v>44</v>
      </c>
      <c r="L988" t="s">
        <v>34</v>
      </c>
      <c r="M988" t="s">
        <v>36</v>
      </c>
      <c r="N988">
        <v>60</v>
      </c>
      <c r="O988" t="s">
        <v>17</v>
      </c>
    </row>
    <row r="989" spans="1:15" x14ac:dyDescent="0.25">
      <c r="A989">
        <v>988</v>
      </c>
      <c r="B989" t="s">
        <v>26</v>
      </c>
      <c r="C989" t="s">
        <v>14</v>
      </c>
      <c r="D989">
        <v>60000</v>
      </c>
      <c r="E989">
        <v>3</v>
      </c>
      <c r="F989" s="2" t="s">
        <v>45</v>
      </c>
      <c r="G989" t="s">
        <v>35</v>
      </c>
      <c r="H989" t="s">
        <v>32</v>
      </c>
      <c r="I989" t="s">
        <v>17</v>
      </c>
      <c r="J989">
        <v>2</v>
      </c>
      <c r="K989" t="s">
        <v>44</v>
      </c>
      <c r="L989" t="s">
        <v>34</v>
      </c>
      <c r="M989" t="s">
        <v>36</v>
      </c>
      <c r="N989">
        <v>66</v>
      </c>
      <c r="O989" t="s">
        <v>20</v>
      </c>
    </row>
    <row r="990" spans="1:15" x14ac:dyDescent="0.25">
      <c r="A990">
        <v>989</v>
      </c>
      <c r="B990" t="s">
        <v>13</v>
      </c>
      <c r="C990" t="s">
        <v>21</v>
      </c>
      <c r="D990">
        <v>70000</v>
      </c>
      <c r="E990">
        <v>5</v>
      </c>
      <c r="F990" s="2" t="s">
        <v>45</v>
      </c>
      <c r="G990" t="s">
        <v>15</v>
      </c>
      <c r="H990" t="s">
        <v>32</v>
      </c>
      <c r="I990" t="s">
        <v>17</v>
      </c>
      <c r="J990">
        <v>2</v>
      </c>
      <c r="K990" t="s">
        <v>44</v>
      </c>
      <c r="L990" t="s">
        <v>34</v>
      </c>
      <c r="M990" t="s">
        <v>36</v>
      </c>
      <c r="N990">
        <v>63</v>
      </c>
      <c r="O990" t="s">
        <v>20</v>
      </c>
    </row>
    <row r="991" spans="1:15" x14ac:dyDescent="0.25">
      <c r="A991">
        <v>990</v>
      </c>
      <c r="B991" t="s">
        <v>13</v>
      </c>
      <c r="C991" t="s">
        <v>21</v>
      </c>
      <c r="D991">
        <v>60000</v>
      </c>
      <c r="E991">
        <v>4</v>
      </c>
      <c r="F991" s="2" t="s">
        <v>45</v>
      </c>
      <c r="G991" t="s">
        <v>15</v>
      </c>
      <c r="H991" t="s">
        <v>16</v>
      </c>
      <c r="I991" t="s">
        <v>20</v>
      </c>
      <c r="J991">
        <v>3</v>
      </c>
      <c r="K991" t="s">
        <v>44</v>
      </c>
      <c r="L991" t="s">
        <v>34</v>
      </c>
      <c r="M991" t="s">
        <v>36</v>
      </c>
      <c r="N991">
        <v>42</v>
      </c>
      <c r="O991" t="s">
        <v>20</v>
      </c>
    </row>
    <row r="992" spans="1:15" x14ac:dyDescent="0.25">
      <c r="A992">
        <v>991</v>
      </c>
      <c r="B992" t="s">
        <v>26</v>
      </c>
      <c r="C992" t="s">
        <v>14</v>
      </c>
      <c r="D992">
        <v>30000</v>
      </c>
      <c r="E992">
        <v>0</v>
      </c>
      <c r="F992" s="2" t="s">
        <v>46</v>
      </c>
      <c r="G992" t="s">
        <v>31</v>
      </c>
      <c r="H992" t="s">
        <v>16</v>
      </c>
      <c r="I992" t="s">
        <v>20</v>
      </c>
      <c r="J992">
        <v>2</v>
      </c>
      <c r="K992" t="s">
        <v>44</v>
      </c>
      <c r="L992" t="s">
        <v>27</v>
      </c>
      <c r="M992" t="s">
        <v>36</v>
      </c>
      <c r="N992">
        <v>26</v>
      </c>
      <c r="O992" t="s">
        <v>20</v>
      </c>
    </row>
    <row r="993" spans="1:15" x14ac:dyDescent="0.25">
      <c r="A993">
        <v>992</v>
      </c>
      <c r="B993" t="s">
        <v>26</v>
      </c>
      <c r="C993" t="s">
        <v>14</v>
      </c>
      <c r="D993">
        <v>60000</v>
      </c>
      <c r="E993">
        <v>1</v>
      </c>
      <c r="F993" s="2" t="s">
        <v>45</v>
      </c>
      <c r="G993" t="s">
        <v>35</v>
      </c>
      <c r="H993" t="s">
        <v>24</v>
      </c>
      <c r="I993" t="s">
        <v>17</v>
      </c>
      <c r="J993">
        <v>0</v>
      </c>
      <c r="K993" t="s">
        <v>43</v>
      </c>
      <c r="L993" t="s">
        <v>25</v>
      </c>
      <c r="M993" t="s">
        <v>36</v>
      </c>
      <c r="N993">
        <v>36</v>
      </c>
      <c r="O993" t="s">
        <v>17</v>
      </c>
    </row>
    <row r="994" spans="1:15" x14ac:dyDescent="0.25">
      <c r="A994">
        <v>993</v>
      </c>
      <c r="B994" t="s">
        <v>13</v>
      </c>
      <c r="C994" t="s">
        <v>21</v>
      </c>
      <c r="D994">
        <v>90000</v>
      </c>
      <c r="E994">
        <v>2</v>
      </c>
      <c r="F994" s="2" t="s">
        <v>45</v>
      </c>
      <c r="G994" t="s">
        <v>22</v>
      </c>
      <c r="H994" t="s">
        <v>24</v>
      </c>
      <c r="I994" t="s">
        <v>20</v>
      </c>
      <c r="J994">
        <v>0</v>
      </c>
      <c r="K994" t="s">
        <v>43</v>
      </c>
      <c r="L994" t="s">
        <v>27</v>
      </c>
      <c r="M994" t="s">
        <v>36</v>
      </c>
      <c r="N994">
        <v>49</v>
      </c>
      <c r="O994" t="s">
        <v>17</v>
      </c>
    </row>
    <row r="995" spans="1:15" x14ac:dyDescent="0.25">
      <c r="A995">
        <v>994</v>
      </c>
      <c r="B995" t="s">
        <v>26</v>
      </c>
      <c r="C995" t="s">
        <v>21</v>
      </c>
      <c r="D995">
        <v>150000</v>
      </c>
      <c r="E995">
        <v>1</v>
      </c>
      <c r="F995" s="2" t="s">
        <v>45</v>
      </c>
      <c r="G995" t="s">
        <v>22</v>
      </c>
      <c r="H995" t="s">
        <v>24</v>
      </c>
      <c r="I995" t="s">
        <v>20</v>
      </c>
      <c r="J995">
        <v>3</v>
      </c>
      <c r="K995" t="s">
        <v>44</v>
      </c>
      <c r="L995" t="s">
        <v>18</v>
      </c>
      <c r="M995" t="s">
        <v>36</v>
      </c>
      <c r="N995">
        <v>44</v>
      </c>
      <c r="O995" t="s">
        <v>17</v>
      </c>
    </row>
    <row r="996" spans="1:15" x14ac:dyDescent="0.25">
      <c r="A996">
        <v>995</v>
      </c>
      <c r="B996" t="s">
        <v>13</v>
      </c>
      <c r="C996" t="s">
        <v>21</v>
      </c>
      <c r="D996">
        <v>80000</v>
      </c>
      <c r="E996">
        <v>5</v>
      </c>
      <c r="F996" s="2" t="s">
        <v>45</v>
      </c>
      <c r="G996" t="s">
        <v>22</v>
      </c>
      <c r="H996" t="s">
        <v>24</v>
      </c>
      <c r="I996" t="s">
        <v>17</v>
      </c>
      <c r="J996">
        <v>3</v>
      </c>
      <c r="K996" t="s">
        <v>44</v>
      </c>
      <c r="L996" t="s">
        <v>30</v>
      </c>
      <c r="M996" t="s">
        <v>36</v>
      </c>
      <c r="N996">
        <v>46</v>
      </c>
      <c r="O996" t="s">
        <v>20</v>
      </c>
    </row>
    <row r="997" spans="1:15" x14ac:dyDescent="0.25">
      <c r="A997">
        <v>996</v>
      </c>
      <c r="B997" t="s">
        <v>13</v>
      </c>
      <c r="C997" t="s">
        <v>21</v>
      </c>
      <c r="D997">
        <v>60000</v>
      </c>
      <c r="E997">
        <v>2</v>
      </c>
      <c r="F997" s="2" t="s">
        <v>45</v>
      </c>
      <c r="G997" t="s">
        <v>31</v>
      </c>
      <c r="H997" t="s">
        <v>24</v>
      </c>
      <c r="I997" t="s">
        <v>17</v>
      </c>
      <c r="J997">
        <v>2</v>
      </c>
      <c r="K997" t="s">
        <v>44</v>
      </c>
      <c r="L997" t="s">
        <v>25</v>
      </c>
      <c r="M997" t="s">
        <v>36</v>
      </c>
      <c r="N997">
        <v>54</v>
      </c>
      <c r="O997" t="s">
        <v>17</v>
      </c>
    </row>
    <row r="998" spans="1:15" x14ac:dyDescent="0.25">
      <c r="A998">
        <v>997</v>
      </c>
      <c r="B998" t="s">
        <v>26</v>
      </c>
      <c r="C998" t="s">
        <v>21</v>
      </c>
      <c r="D998">
        <v>70000</v>
      </c>
      <c r="E998">
        <v>4</v>
      </c>
      <c r="F998" s="2" t="s">
        <v>45</v>
      </c>
      <c r="G998" t="s">
        <v>35</v>
      </c>
      <c r="H998" t="s">
        <v>24</v>
      </c>
      <c r="I998" t="s">
        <v>17</v>
      </c>
      <c r="J998">
        <v>0</v>
      </c>
      <c r="K998" t="s">
        <v>43</v>
      </c>
      <c r="L998" t="s">
        <v>25</v>
      </c>
      <c r="M998" t="s">
        <v>36</v>
      </c>
      <c r="N998">
        <v>35</v>
      </c>
      <c r="O998" t="s">
        <v>17</v>
      </c>
    </row>
    <row r="999" spans="1:15" x14ac:dyDescent="0.25">
      <c r="A999">
        <v>998</v>
      </c>
      <c r="B999" t="s">
        <v>13</v>
      </c>
      <c r="C999" t="s">
        <v>21</v>
      </c>
      <c r="D999">
        <v>60000</v>
      </c>
      <c r="E999">
        <v>2</v>
      </c>
      <c r="F999" s="2" t="s">
        <v>45</v>
      </c>
      <c r="G999" t="s">
        <v>15</v>
      </c>
      <c r="H999" t="s">
        <v>16</v>
      </c>
      <c r="I999" t="s">
        <v>17</v>
      </c>
      <c r="J999">
        <v>0</v>
      </c>
      <c r="K999" t="s">
        <v>43</v>
      </c>
      <c r="L999" t="s">
        <v>18</v>
      </c>
      <c r="M999" t="s">
        <v>36</v>
      </c>
      <c r="N999">
        <v>38</v>
      </c>
      <c r="O999" t="s">
        <v>17</v>
      </c>
    </row>
    <row r="1000" spans="1:15" x14ac:dyDescent="0.25">
      <c r="A1000">
        <v>999</v>
      </c>
      <c r="B1000" t="s">
        <v>26</v>
      </c>
      <c r="C1000" t="s">
        <v>21</v>
      </c>
      <c r="D1000">
        <v>100000</v>
      </c>
      <c r="E1000">
        <v>3</v>
      </c>
      <c r="F1000" s="2" t="s">
        <v>45</v>
      </c>
      <c r="G1000" t="s">
        <v>15</v>
      </c>
      <c r="H1000" t="s">
        <v>32</v>
      </c>
      <c r="I1000" t="s">
        <v>20</v>
      </c>
      <c r="J1000">
        <v>3</v>
      </c>
      <c r="K1000" t="s">
        <v>44</v>
      </c>
      <c r="L1000" t="s">
        <v>30</v>
      </c>
      <c r="M1000" t="s">
        <v>36</v>
      </c>
      <c r="N1000">
        <v>38</v>
      </c>
      <c r="O1000" t="s">
        <v>20</v>
      </c>
    </row>
    <row r="1001" spans="1:15" x14ac:dyDescent="0.25">
      <c r="A1001">
        <v>1000</v>
      </c>
      <c r="B1001" t="s">
        <v>26</v>
      </c>
      <c r="C1001" t="s">
        <v>21</v>
      </c>
      <c r="D1001">
        <v>60000</v>
      </c>
      <c r="E1001">
        <v>3</v>
      </c>
      <c r="F1001" s="2" t="s">
        <v>45</v>
      </c>
      <c r="G1001" t="s">
        <v>31</v>
      </c>
      <c r="H1001" t="s">
        <v>24</v>
      </c>
      <c r="I1001" t="s">
        <v>17</v>
      </c>
      <c r="J1001">
        <v>2</v>
      </c>
      <c r="K1001" t="s">
        <v>44</v>
      </c>
      <c r="L1001" t="s">
        <v>34</v>
      </c>
      <c r="M1001" t="s">
        <v>36</v>
      </c>
      <c r="N1001">
        <v>53</v>
      </c>
      <c r="O1001" t="s">
        <v>17</v>
      </c>
    </row>
    <row r="1002" spans="1:15" x14ac:dyDescent="0.25">
      <c r="A1002">
        <v>1001</v>
      </c>
      <c r="B1002" t="s">
        <v>13</v>
      </c>
      <c r="C1002" t="s">
        <v>14</v>
      </c>
      <c r="D1002">
        <v>10000</v>
      </c>
      <c r="E1002">
        <v>2</v>
      </c>
      <c r="F1002" s="2" t="s">
        <v>45</v>
      </c>
      <c r="G1002" t="s">
        <v>22</v>
      </c>
      <c r="H1002" t="s">
        <v>29</v>
      </c>
      <c r="I1002" t="s">
        <v>17</v>
      </c>
      <c r="J1002">
        <v>0</v>
      </c>
      <c r="K1002" t="s">
        <v>43</v>
      </c>
      <c r="L1002" t="s">
        <v>30</v>
      </c>
      <c r="M1002" t="s">
        <v>19</v>
      </c>
      <c r="N1002">
        <v>50</v>
      </c>
      <c r="O1002" t="s">
        <v>20</v>
      </c>
    </row>
    <row r="1003" spans="1:15" x14ac:dyDescent="0.25">
      <c r="A1003">
        <v>1002</v>
      </c>
      <c r="B1003" t="s">
        <v>13</v>
      </c>
      <c r="C1003" t="s">
        <v>21</v>
      </c>
      <c r="D1003">
        <v>120000</v>
      </c>
      <c r="E1003">
        <v>2</v>
      </c>
      <c r="F1003" s="2" t="s">
        <v>45</v>
      </c>
      <c r="G1003" t="s">
        <v>22</v>
      </c>
      <c r="H1003" t="s">
        <v>29</v>
      </c>
      <c r="I1003" t="s">
        <v>17</v>
      </c>
      <c r="J1003">
        <v>1</v>
      </c>
      <c r="K1003" t="s">
        <v>44</v>
      </c>
      <c r="L1003" t="s">
        <v>18</v>
      </c>
      <c r="M1003" t="s">
        <v>19</v>
      </c>
      <c r="N1003">
        <v>40</v>
      </c>
      <c r="O1003" t="s">
        <v>17</v>
      </c>
    </row>
    <row r="1004" spans="1:15" x14ac:dyDescent="0.25">
      <c r="A1004">
        <v>1003</v>
      </c>
      <c r="B1004" t="s">
        <v>13</v>
      </c>
      <c r="C1004" t="s">
        <v>14</v>
      </c>
      <c r="D1004">
        <v>30000</v>
      </c>
      <c r="E1004">
        <v>3</v>
      </c>
      <c r="F1004" s="2" t="s">
        <v>45</v>
      </c>
      <c r="G1004" t="s">
        <v>31</v>
      </c>
      <c r="H1004" t="s">
        <v>16</v>
      </c>
      <c r="I1004" t="s">
        <v>20</v>
      </c>
      <c r="J1004">
        <v>2</v>
      </c>
      <c r="K1004" t="s">
        <v>44</v>
      </c>
      <c r="L1004" t="s">
        <v>30</v>
      </c>
      <c r="M1004" t="s">
        <v>28</v>
      </c>
      <c r="N1004">
        <v>54</v>
      </c>
      <c r="O1004" t="s">
        <v>17</v>
      </c>
    </row>
    <row r="1005" spans="1:15" x14ac:dyDescent="0.25">
      <c r="A1005">
        <v>1004</v>
      </c>
      <c r="B1005" t="s">
        <v>26</v>
      </c>
      <c r="C1005" t="s">
        <v>14</v>
      </c>
      <c r="D1005">
        <v>90000</v>
      </c>
      <c r="E1005">
        <v>0</v>
      </c>
      <c r="F1005" s="2" t="s">
        <v>46</v>
      </c>
      <c r="G1005" t="s">
        <v>15</v>
      </c>
      <c r="H1005" t="s">
        <v>24</v>
      </c>
      <c r="I1005" t="s">
        <v>20</v>
      </c>
      <c r="J1005">
        <v>4</v>
      </c>
      <c r="K1005" t="s">
        <v>44</v>
      </c>
      <c r="L1005" t="s">
        <v>34</v>
      </c>
      <c r="M1005" t="s">
        <v>28</v>
      </c>
      <c r="N1005">
        <v>36</v>
      </c>
      <c r="O1005" t="s">
        <v>20</v>
      </c>
    </row>
    <row r="1006" spans="1:15" x14ac:dyDescent="0.25">
      <c r="A1006">
        <v>1005</v>
      </c>
      <c r="B1006" t="s">
        <v>13</v>
      </c>
      <c r="C1006" t="s">
        <v>21</v>
      </c>
      <c r="D1006">
        <v>170000</v>
      </c>
      <c r="E1006">
        <v>5</v>
      </c>
      <c r="F1006" s="2" t="s">
        <v>45</v>
      </c>
      <c r="G1006" t="s">
        <v>22</v>
      </c>
      <c r="H1006" t="s">
        <v>24</v>
      </c>
      <c r="I1006" t="s">
        <v>17</v>
      </c>
      <c r="J1006">
        <v>0</v>
      </c>
      <c r="K1006" t="s">
        <v>43</v>
      </c>
      <c r="L1006" t="s">
        <v>18</v>
      </c>
      <c r="M1006" t="s">
        <v>19</v>
      </c>
      <c r="N1006">
        <v>55</v>
      </c>
      <c r="O1006" t="s">
        <v>20</v>
      </c>
    </row>
    <row r="1007" spans="1:15" x14ac:dyDescent="0.25">
      <c r="A1007">
        <v>1006</v>
      </c>
      <c r="B1007" t="s">
        <v>13</v>
      </c>
      <c r="C1007" t="s">
        <v>21</v>
      </c>
      <c r="D1007">
        <v>40000</v>
      </c>
      <c r="E1007">
        <v>2</v>
      </c>
      <c r="F1007" s="2" t="s">
        <v>45</v>
      </c>
      <c r="G1007" t="s">
        <v>22</v>
      </c>
      <c r="H1007" t="s">
        <v>23</v>
      </c>
      <c r="I1007" t="s">
        <v>17</v>
      </c>
      <c r="J1007">
        <v>1</v>
      </c>
      <c r="K1007" t="s">
        <v>44</v>
      </c>
      <c r="L1007" t="s">
        <v>30</v>
      </c>
      <c r="M1007" t="s">
        <v>19</v>
      </c>
      <c r="N1007">
        <v>35</v>
      </c>
      <c r="O1007" t="s">
        <v>17</v>
      </c>
    </row>
    <row r="1008" spans="1:15" x14ac:dyDescent="0.25">
      <c r="A1008">
        <v>1007</v>
      </c>
      <c r="B1008" t="s">
        <v>26</v>
      </c>
      <c r="C1008" t="s">
        <v>21</v>
      </c>
      <c r="D1008">
        <v>60000</v>
      </c>
      <c r="E1008">
        <v>1</v>
      </c>
      <c r="F1008" s="2" t="s">
        <v>45</v>
      </c>
      <c r="G1008" t="s">
        <v>22</v>
      </c>
      <c r="H1008" t="s">
        <v>16</v>
      </c>
      <c r="I1008" t="s">
        <v>20</v>
      </c>
      <c r="J1008">
        <v>1</v>
      </c>
      <c r="K1008" t="s">
        <v>44</v>
      </c>
      <c r="L1008" t="s">
        <v>18</v>
      </c>
      <c r="M1008" t="s">
        <v>28</v>
      </c>
      <c r="N1008">
        <v>45</v>
      </c>
      <c r="O1008" t="s">
        <v>17</v>
      </c>
    </row>
    <row r="1009" spans="1:15" x14ac:dyDescent="0.25">
      <c r="A1009">
        <v>1008</v>
      </c>
      <c r="B1009" t="s">
        <v>26</v>
      </c>
      <c r="C1009" t="s">
        <v>14</v>
      </c>
      <c r="D1009">
        <v>10000</v>
      </c>
      <c r="E1009">
        <v>2</v>
      </c>
      <c r="F1009" s="2" t="s">
        <v>45</v>
      </c>
      <c r="G1009" t="s">
        <v>31</v>
      </c>
      <c r="H1009" t="s">
        <v>29</v>
      </c>
      <c r="I1009" t="s">
        <v>17</v>
      </c>
      <c r="J1009">
        <v>1</v>
      </c>
      <c r="K1009" t="s">
        <v>44</v>
      </c>
      <c r="L1009" t="s">
        <v>18</v>
      </c>
      <c r="M1009" t="s">
        <v>19</v>
      </c>
      <c r="N1009">
        <v>38</v>
      </c>
      <c r="O1009" t="s">
        <v>17</v>
      </c>
    </row>
    <row r="1010" spans="1:15" x14ac:dyDescent="0.25">
      <c r="A1010">
        <v>1009</v>
      </c>
      <c r="B1010" t="s">
        <v>26</v>
      </c>
      <c r="C1010" t="s">
        <v>21</v>
      </c>
      <c r="D1010">
        <v>30000</v>
      </c>
      <c r="E1010">
        <v>3</v>
      </c>
      <c r="F1010" s="2" t="s">
        <v>45</v>
      </c>
      <c r="G1010" t="s">
        <v>22</v>
      </c>
      <c r="H1010" t="s">
        <v>23</v>
      </c>
      <c r="I1010" t="s">
        <v>20</v>
      </c>
      <c r="J1010">
        <v>2</v>
      </c>
      <c r="K1010" t="s">
        <v>44</v>
      </c>
      <c r="L1010" t="s">
        <v>30</v>
      </c>
      <c r="M1010" t="s">
        <v>28</v>
      </c>
      <c r="N1010">
        <v>59</v>
      </c>
      <c r="O1010" t="s">
        <v>17</v>
      </c>
    </row>
    <row r="1011" spans="1:15" x14ac:dyDescent="0.25">
      <c r="A1011">
        <v>1010</v>
      </c>
      <c r="B1011" t="s">
        <v>13</v>
      </c>
      <c r="C1011" t="s">
        <v>14</v>
      </c>
      <c r="D1011">
        <v>30000</v>
      </c>
      <c r="E1011">
        <v>1</v>
      </c>
      <c r="F1011" s="2" t="s">
        <v>45</v>
      </c>
      <c r="G1011" t="s">
        <v>15</v>
      </c>
      <c r="H1011" t="s">
        <v>23</v>
      </c>
      <c r="I1011" t="s">
        <v>17</v>
      </c>
      <c r="J1011">
        <v>0</v>
      </c>
      <c r="K1011" t="s">
        <v>43</v>
      </c>
      <c r="L1011" t="s">
        <v>18</v>
      </c>
      <c r="M1011" t="s">
        <v>19</v>
      </c>
      <c r="N1011">
        <v>47</v>
      </c>
      <c r="O1011" t="s">
        <v>20</v>
      </c>
    </row>
    <row r="1012" spans="1:15" x14ac:dyDescent="0.25">
      <c r="A1012">
        <v>1011</v>
      </c>
      <c r="B1012" t="s">
        <v>26</v>
      </c>
      <c r="C1012" t="s">
        <v>21</v>
      </c>
      <c r="D1012">
        <v>40000</v>
      </c>
      <c r="E1012">
        <v>2</v>
      </c>
      <c r="F1012" s="2" t="s">
        <v>45</v>
      </c>
      <c r="G1012" t="s">
        <v>22</v>
      </c>
      <c r="H1012" t="s">
        <v>23</v>
      </c>
      <c r="I1012" t="s">
        <v>17</v>
      </c>
      <c r="J1012">
        <v>1</v>
      </c>
      <c r="K1012" t="s">
        <v>44</v>
      </c>
      <c r="L1012" t="s">
        <v>30</v>
      </c>
      <c r="M1012" t="s">
        <v>19</v>
      </c>
      <c r="N1012">
        <v>35</v>
      </c>
      <c r="O1012" t="s">
        <v>17</v>
      </c>
    </row>
    <row r="1013" spans="1:15" x14ac:dyDescent="0.25">
      <c r="A1013">
        <v>1012</v>
      </c>
      <c r="B1013" t="s">
        <v>26</v>
      </c>
      <c r="C1013" t="s">
        <v>21</v>
      </c>
      <c r="D1013">
        <v>20000</v>
      </c>
      <c r="E1013">
        <v>2</v>
      </c>
      <c r="F1013" s="2" t="s">
        <v>45</v>
      </c>
      <c r="G1013" t="s">
        <v>33</v>
      </c>
      <c r="H1013" t="s">
        <v>23</v>
      </c>
      <c r="I1013" t="s">
        <v>17</v>
      </c>
      <c r="J1013">
        <v>2</v>
      </c>
      <c r="K1013" t="s">
        <v>44</v>
      </c>
      <c r="L1013" t="s">
        <v>27</v>
      </c>
      <c r="M1013" t="s">
        <v>28</v>
      </c>
      <c r="N1013">
        <v>55</v>
      </c>
      <c r="O1013" t="s">
        <v>17</v>
      </c>
    </row>
    <row r="1014" spans="1:15" x14ac:dyDescent="0.25">
      <c r="A1014">
        <v>1013</v>
      </c>
      <c r="B1014" t="s">
        <v>13</v>
      </c>
      <c r="C1014" t="s">
        <v>14</v>
      </c>
      <c r="D1014">
        <v>40000</v>
      </c>
      <c r="E1014">
        <v>0</v>
      </c>
      <c r="F1014" s="2" t="s">
        <v>46</v>
      </c>
      <c r="G1014" t="s">
        <v>35</v>
      </c>
      <c r="H1014" t="s">
        <v>23</v>
      </c>
      <c r="I1014" t="s">
        <v>17</v>
      </c>
      <c r="J1014">
        <v>0</v>
      </c>
      <c r="K1014" t="s">
        <v>43</v>
      </c>
      <c r="L1014" t="s">
        <v>18</v>
      </c>
      <c r="M1014" t="s">
        <v>19</v>
      </c>
      <c r="N1014">
        <v>36</v>
      </c>
      <c r="O1014" t="s">
        <v>17</v>
      </c>
    </row>
    <row r="1015" spans="1:15" x14ac:dyDescent="0.25">
      <c r="A1015">
        <v>1014</v>
      </c>
      <c r="B1015" t="s">
        <v>26</v>
      </c>
      <c r="C1015" t="s">
        <v>14</v>
      </c>
      <c r="D1015">
        <v>80000</v>
      </c>
      <c r="E1015">
        <v>0</v>
      </c>
      <c r="F1015" s="2" t="s">
        <v>46</v>
      </c>
      <c r="G1015" t="s">
        <v>15</v>
      </c>
      <c r="H1015" t="s">
        <v>24</v>
      </c>
      <c r="I1015" t="s">
        <v>17</v>
      </c>
      <c r="J1015">
        <v>4</v>
      </c>
      <c r="K1015" t="s">
        <v>44</v>
      </c>
      <c r="L1015" t="s">
        <v>34</v>
      </c>
      <c r="M1015" t="s">
        <v>28</v>
      </c>
      <c r="N1015">
        <v>35</v>
      </c>
      <c r="O1015" t="s">
        <v>20</v>
      </c>
    </row>
    <row r="1016" spans="1:15" x14ac:dyDescent="0.25">
      <c r="A1016">
        <v>1015</v>
      </c>
      <c r="B1016" t="s">
        <v>26</v>
      </c>
      <c r="C1016" t="s">
        <v>21</v>
      </c>
      <c r="D1016">
        <v>40000</v>
      </c>
      <c r="E1016">
        <v>2</v>
      </c>
      <c r="F1016" s="2" t="s">
        <v>45</v>
      </c>
      <c r="G1016" t="s">
        <v>22</v>
      </c>
      <c r="H1016" t="s">
        <v>23</v>
      </c>
      <c r="I1016" t="s">
        <v>17</v>
      </c>
      <c r="J1016">
        <v>0</v>
      </c>
      <c r="K1016" t="s">
        <v>43</v>
      </c>
      <c r="L1016" t="s">
        <v>30</v>
      </c>
      <c r="M1016" t="s">
        <v>19</v>
      </c>
      <c r="N1016">
        <v>35</v>
      </c>
      <c r="O1016" t="s">
        <v>17</v>
      </c>
    </row>
    <row r="1017" spans="1:15" x14ac:dyDescent="0.25">
      <c r="A1017">
        <v>1016</v>
      </c>
      <c r="B1017" t="s">
        <v>13</v>
      </c>
      <c r="C1017" t="s">
        <v>14</v>
      </c>
      <c r="D1017">
        <v>80000</v>
      </c>
      <c r="E1017">
        <v>5</v>
      </c>
      <c r="F1017" s="2" t="s">
        <v>45</v>
      </c>
      <c r="G1017" t="s">
        <v>31</v>
      </c>
      <c r="H1017" t="s">
        <v>32</v>
      </c>
      <c r="I1017" t="s">
        <v>20</v>
      </c>
      <c r="J1017">
        <v>3</v>
      </c>
      <c r="K1017" t="s">
        <v>44</v>
      </c>
      <c r="L1017" t="s">
        <v>27</v>
      </c>
      <c r="M1017" t="s">
        <v>19</v>
      </c>
      <c r="N1017">
        <v>56</v>
      </c>
      <c r="O1017" t="s">
        <v>20</v>
      </c>
    </row>
    <row r="1018" spans="1:15" x14ac:dyDescent="0.25">
      <c r="A1018">
        <v>1017</v>
      </c>
      <c r="B1018" t="s">
        <v>26</v>
      </c>
      <c r="C1018" t="s">
        <v>21</v>
      </c>
      <c r="D1018">
        <v>40000</v>
      </c>
      <c r="E1018">
        <v>2</v>
      </c>
      <c r="F1018" s="2" t="s">
        <v>45</v>
      </c>
      <c r="G1018" t="s">
        <v>22</v>
      </c>
      <c r="H1018" t="s">
        <v>23</v>
      </c>
      <c r="I1018" t="s">
        <v>20</v>
      </c>
      <c r="J1018">
        <v>1</v>
      </c>
      <c r="K1018" t="s">
        <v>44</v>
      </c>
      <c r="L1018" t="s">
        <v>18</v>
      </c>
      <c r="M1018" t="s">
        <v>19</v>
      </c>
      <c r="N1018">
        <v>34</v>
      </c>
      <c r="O1018" t="s">
        <v>20</v>
      </c>
    </row>
    <row r="1019" spans="1:15" x14ac:dyDescent="0.25">
      <c r="A1019">
        <v>1018</v>
      </c>
      <c r="B1019" t="s">
        <v>26</v>
      </c>
      <c r="C1019" t="s">
        <v>21</v>
      </c>
      <c r="D1019">
        <v>30000</v>
      </c>
      <c r="E1019">
        <v>1</v>
      </c>
      <c r="F1019" s="2" t="s">
        <v>45</v>
      </c>
      <c r="G1019" t="s">
        <v>15</v>
      </c>
      <c r="H1019" t="s">
        <v>23</v>
      </c>
      <c r="I1019" t="s">
        <v>17</v>
      </c>
      <c r="J1019">
        <v>0</v>
      </c>
      <c r="K1019" t="s">
        <v>43</v>
      </c>
      <c r="L1019" t="s">
        <v>18</v>
      </c>
      <c r="M1019" t="s">
        <v>19</v>
      </c>
      <c r="N1019">
        <v>63</v>
      </c>
      <c r="O1019" t="s">
        <v>20</v>
      </c>
    </row>
    <row r="1020" spans="1:15" x14ac:dyDescent="0.25">
      <c r="A1020">
        <v>1019</v>
      </c>
      <c r="B1020" t="s">
        <v>26</v>
      </c>
      <c r="C1020" t="s">
        <v>21</v>
      </c>
      <c r="D1020">
        <v>30000</v>
      </c>
      <c r="E1020">
        <v>0</v>
      </c>
      <c r="F1020" s="2" t="s">
        <v>46</v>
      </c>
      <c r="G1020" t="s">
        <v>22</v>
      </c>
      <c r="H1020" t="s">
        <v>23</v>
      </c>
      <c r="I1020" t="s">
        <v>20</v>
      </c>
      <c r="J1020">
        <v>1</v>
      </c>
      <c r="K1020" t="s">
        <v>44</v>
      </c>
      <c r="L1020" t="s">
        <v>18</v>
      </c>
      <c r="M1020" t="s">
        <v>19</v>
      </c>
      <c r="N1020">
        <v>29</v>
      </c>
      <c r="O1020" t="s">
        <v>17</v>
      </c>
    </row>
    <row r="1021" spans="1:15" x14ac:dyDescent="0.25">
      <c r="A1021">
        <v>1020</v>
      </c>
      <c r="B1021" t="s">
        <v>26</v>
      </c>
      <c r="C1021" t="s">
        <v>14</v>
      </c>
      <c r="D1021">
        <v>100000</v>
      </c>
      <c r="E1021">
        <v>0</v>
      </c>
      <c r="F1021" s="2" t="s">
        <v>46</v>
      </c>
      <c r="G1021" t="s">
        <v>15</v>
      </c>
      <c r="H1021" t="s">
        <v>24</v>
      </c>
      <c r="I1021" t="s">
        <v>20</v>
      </c>
      <c r="J1021">
        <v>1</v>
      </c>
      <c r="K1021" t="s">
        <v>44</v>
      </c>
      <c r="L1021" t="s">
        <v>27</v>
      </c>
      <c r="M1021" t="s">
        <v>28</v>
      </c>
      <c r="N1021">
        <v>40</v>
      </c>
      <c r="O1021" t="s">
        <v>20</v>
      </c>
    </row>
    <row r="1022" spans="1:15" x14ac:dyDescent="0.25">
      <c r="A1022">
        <v>1021</v>
      </c>
      <c r="B1022" t="s">
        <v>13</v>
      </c>
      <c r="C1022" t="s">
        <v>21</v>
      </c>
      <c r="D1022">
        <v>70000</v>
      </c>
      <c r="E1022">
        <v>5</v>
      </c>
      <c r="F1022" s="2" t="s">
        <v>45</v>
      </c>
      <c r="G1022" t="s">
        <v>22</v>
      </c>
      <c r="H1022" t="s">
        <v>16</v>
      </c>
      <c r="I1022" t="s">
        <v>17</v>
      </c>
      <c r="J1022">
        <v>2</v>
      </c>
      <c r="K1022" t="s">
        <v>44</v>
      </c>
      <c r="L1022" t="s">
        <v>27</v>
      </c>
      <c r="M1022" t="s">
        <v>28</v>
      </c>
      <c r="N1022">
        <v>44</v>
      </c>
      <c r="O1022" t="s">
        <v>20</v>
      </c>
    </row>
    <row r="1023" spans="1:15" x14ac:dyDescent="0.25">
      <c r="A1023">
        <v>1022</v>
      </c>
      <c r="B1023" t="s">
        <v>26</v>
      </c>
      <c r="C1023" t="s">
        <v>14</v>
      </c>
      <c r="D1023">
        <v>20000</v>
      </c>
      <c r="E1023">
        <v>0</v>
      </c>
      <c r="F1023" s="2" t="s">
        <v>46</v>
      </c>
      <c r="G1023" t="s">
        <v>33</v>
      </c>
      <c r="H1023" t="s">
        <v>29</v>
      </c>
      <c r="I1023" t="s">
        <v>20</v>
      </c>
      <c r="J1023">
        <v>2</v>
      </c>
      <c r="K1023" t="s">
        <v>44</v>
      </c>
      <c r="L1023" t="s">
        <v>18</v>
      </c>
      <c r="M1023" t="s">
        <v>19</v>
      </c>
      <c r="N1023">
        <v>32</v>
      </c>
      <c r="O1023" t="s">
        <v>17</v>
      </c>
    </row>
    <row r="1024" spans="1:15" x14ac:dyDescent="0.25">
      <c r="A1024">
        <v>1023</v>
      </c>
      <c r="B1024" t="s">
        <v>13</v>
      </c>
      <c r="C1024" t="s">
        <v>14</v>
      </c>
      <c r="D1024">
        <v>20000</v>
      </c>
      <c r="E1024">
        <v>2</v>
      </c>
      <c r="F1024" s="2" t="s">
        <v>45</v>
      </c>
      <c r="G1024" t="s">
        <v>22</v>
      </c>
      <c r="H1024" t="s">
        <v>29</v>
      </c>
      <c r="I1024" t="s">
        <v>17</v>
      </c>
      <c r="J1024">
        <v>0</v>
      </c>
      <c r="K1024" t="s">
        <v>43</v>
      </c>
      <c r="L1024" t="s">
        <v>18</v>
      </c>
      <c r="M1024" t="s">
        <v>19</v>
      </c>
      <c r="N1024">
        <v>63</v>
      </c>
      <c r="O1024" t="s">
        <v>20</v>
      </c>
    </row>
    <row r="1025" spans="1:15" x14ac:dyDescent="0.25">
      <c r="A1025">
        <v>1024</v>
      </c>
      <c r="B1025" t="s">
        <v>13</v>
      </c>
      <c r="C1025" t="s">
        <v>21</v>
      </c>
      <c r="D1025">
        <v>10000</v>
      </c>
      <c r="E1025">
        <v>0</v>
      </c>
      <c r="F1025" s="2" t="s">
        <v>46</v>
      </c>
      <c r="G1025" t="s">
        <v>22</v>
      </c>
      <c r="H1025" t="s">
        <v>29</v>
      </c>
      <c r="I1025" t="s">
        <v>20</v>
      </c>
      <c r="J1025">
        <v>1</v>
      </c>
      <c r="K1025" t="s">
        <v>44</v>
      </c>
      <c r="L1025" t="s">
        <v>18</v>
      </c>
      <c r="M1025" t="s">
        <v>28</v>
      </c>
      <c r="N1025">
        <v>26</v>
      </c>
      <c r="O1025" t="s">
        <v>17</v>
      </c>
    </row>
    <row r="1026" spans="1:15" x14ac:dyDescent="0.25">
      <c r="A1026">
        <v>1025</v>
      </c>
      <c r="B1026" t="s">
        <v>26</v>
      </c>
      <c r="C1026" t="s">
        <v>14</v>
      </c>
      <c r="D1026">
        <v>20000</v>
      </c>
      <c r="E1026">
        <v>0</v>
      </c>
      <c r="F1026" s="2" t="s">
        <v>46</v>
      </c>
      <c r="G1026" t="s">
        <v>31</v>
      </c>
      <c r="H1026" t="s">
        <v>29</v>
      </c>
      <c r="I1026" t="s">
        <v>20</v>
      </c>
      <c r="J1026">
        <v>1</v>
      </c>
      <c r="K1026" t="s">
        <v>44</v>
      </c>
      <c r="L1026" t="s">
        <v>27</v>
      </c>
      <c r="M1026" t="s">
        <v>19</v>
      </c>
      <c r="N1026">
        <v>31</v>
      </c>
      <c r="O1026" t="s">
        <v>20</v>
      </c>
    </row>
    <row r="1027" spans="1:15" x14ac:dyDescent="0.25">
      <c r="A1027">
        <v>1026</v>
      </c>
      <c r="B1027" t="s">
        <v>26</v>
      </c>
      <c r="C1027" t="s">
        <v>21</v>
      </c>
      <c r="D1027">
        <v>80000</v>
      </c>
      <c r="E1027">
        <v>2</v>
      </c>
      <c r="F1027" s="2" t="s">
        <v>45</v>
      </c>
      <c r="G1027" t="s">
        <v>31</v>
      </c>
      <c r="H1027" t="s">
        <v>16</v>
      </c>
      <c r="I1027" t="s">
        <v>20</v>
      </c>
      <c r="J1027">
        <v>2</v>
      </c>
      <c r="K1027" t="s">
        <v>44</v>
      </c>
      <c r="L1027" t="s">
        <v>30</v>
      </c>
      <c r="M1027" t="s">
        <v>28</v>
      </c>
      <c r="N1027">
        <v>50</v>
      </c>
      <c r="O1027" t="s">
        <v>17</v>
      </c>
    </row>
  </sheetData>
  <pageMargins left="0.7" right="0.7" top="0.75" bottom="0.75" header="0.3" footer="0.3"/>
  <pageSetup paperSize="9" orientation="portrait" horizontalDpi="0" verticalDpi="0"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72106-CDC1-489F-9E1B-A23EFCDC3309}">
  <dimension ref="A1"/>
  <sheetViews>
    <sheetView workbookViewId="0">
      <selection activeCell="A3" sqref="A3"/>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CCC53-D747-471A-BF41-CF6A643F8F54}">
  <sheetPr codeName="Sheet2"/>
  <dimension ref="A1:G172"/>
  <sheetViews>
    <sheetView tabSelected="1" topLeftCell="A52" zoomScale="115" zoomScaleNormal="115" workbookViewId="0">
      <selection activeCell="D117" sqref="D117"/>
    </sheetView>
  </sheetViews>
  <sheetFormatPr defaultRowHeight="15" x14ac:dyDescent="0.25"/>
  <cols>
    <col min="1" max="1" width="18" bestFit="1" customWidth="1"/>
    <col min="2" max="2" width="16.85546875" bestFit="1" customWidth="1"/>
    <col min="3" max="3" width="22" bestFit="1" customWidth="1"/>
    <col min="4" max="4" width="11.28515625" bestFit="1" customWidth="1"/>
    <col min="5" max="5" width="10.140625" bestFit="1" customWidth="1"/>
    <col min="6" max="6" width="18.28515625" bestFit="1" customWidth="1"/>
    <col min="7" max="7" width="11.28515625" bestFit="1" customWidth="1"/>
  </cols>
  <sheetData>
    <row r="1" spans="1:3" x14ac:dyDescent="0.25">
      <c r="A1" s="3" t="s">
        <v>49</v>
      </c>
      <c r="B1" t="s">
        <v>51</v>
      </c>
      <c r="C1" t="s">
        <v>52</v>
      </c>
    </row>
    <row r="2" spans="1:3" x14ac:dyDescent="0.25">
      <c r="A2" s="4" t="s">
        <v>14</v>
      </c>
      <c r="B2" s="40">
        <v>0.48830409356725146</v>
      </c>
      <c r="C2" s="35">
        <v>501</v>
      </c>
    </row>
    <row r="3" spans="1:3" x14ac:dyDescent="0.25">
      <c r="A3" s="4" t="s">
        <v>21</v>
      </c>
      <c r="B3" s="40">
        <v>0.51169590643274854</v>
      </c>
      <c r="C3" s="35">
        <v>525</v>
      </c>
    </row>
    <row r="4" spans="1:3" x14ac:dyDescent="0.25">
      <c r="A4" s="4" t="s">
        <v>50</v>
      </c>
      <c r="B4" s="5">
        <v>1</v>
      </c>
      <c r="C4" s="35">
        <v>1026</v>
      </c>
    </row>
    <row r="20" spans="1:4" x14ac:dyDescent="0.25">
      <c r="A20" s="29" t="s">
        <v>1</v>
      </c>
      <c r="B20" s="30" t="s">
        <v>53</v>
      </c>
      <c r="C20" s="30" t="s">
        <v>54</v>
      </c>
      <c r="D20" s="31" t="s">
        <v>55</v>
      </c>
    </row>
    <row r="21" spans="1:4" x14ac:dyDescent="0.25">
      <c r="A21" s="27" t="s">
        <v>13</v>
      </c>
      <c r="B21" s="7">
        <v>25</v>
      </c>
      <c r="C21" s="7">
        <v>89</v>
      </c>
      <c r="D21" s="41">
        <v>46.357012750455375</v>
      </c>
    </row>
    <row r="22" spans="1:4" x14ac:dyDescent="0.25">
      <c r="A22" s="32" t="s">
        <v>26</v>
      </c>
      <c r="B22" s="33">
        <v>25</v>
      </c>
      <c r="C22" s="33">
        <v>78</v>
      </c>
      <c r="D22" s="42">
        <v>41.584905660377359</v>
      </c>
    </row>
    <row r="41" spans="1:4" x14ac:dyDescent="0.25">
      <c r="A41" s="21" t="s">
        <v>2</v>
      </c>
      <c r="B41" s="24" t="s">
        <v>56</v>
      </c>
      <c r="C41" s="24" t="s">
        <v>57</v>
      </c>
      <c r="D41" s="20" t="s">
        <v>51</v>
      </c>
    </row>
    <row r="42" spans="1:4" x14ac:dyDescent="0.25">
      <c r="A42" s="22" t="s">
        <v>14</v>
      </c>
      <c r="B42" s="8">
        <v>501</v>
      </c>
      <c r="C42" s="8">
        <v>243</v>
      </c>
      <c r="D42" s="43">
        <v>48.50299401197605</v>
      </c>
    </row>
    <row r="43" spans="1:4" x14ac:dyDescent="0.25">
      <c r="A43" s="19" t="s">
        <v>21</v>
      </c>
      <c r="B43" s="25">
        <v>525</v>
      </c>
      <c r="C43" s="25">
        <v>252</v>
      </c>
      <c r="D43" s="44">
        <v>48</v>
      </c>
    </row>
    <row r="55" spans="1:4" x14ac:dyDescent="0.25">
      <c r="A55" s="21" t="s">
        <v>1</v>
      </c>
      <c r="B55" s="24" t="s">
        <v>56</v>
      </c>
      <c r="C55" s="24" t="s">
        <v>57</v>
      </c>
      <c r="D55" s="20" t="s">
        <v>51</v>
      </c>
    </row>
    <row r="56" spans="1:4" x14ac:dyDescent="0.25">
      <c r="A56" s="22" t="s">
        <v>13</v>
      </c>
      <c r="B56" s="8">
        <v>549</v>
      </c>
      <c r="C56" s="8">
        <v>236</v>
      </c>
      <c r="D56" s="43">
        <v>42.987249544626593</v>
      </c>
    </row>
    <row r="57" spans="1:4" x14ac:dyDescent="0.25">
      <c r="A57" s="19" t="s">
        <v>26</v>
      </c>
      <c r="B57" s="25">
        <v>477</v>
      </c>
      <c r="C57" s="25">
        <v>259</v>
      </c>
      <c r="D57" s="44">
        <v>54.297693920335433</v>
      </c>
    </row>
    <row r="70" spans="1:7" x14ac:dyDescent="0.25">
      <c r="A70" s="3" t="s">
        <v>12</v>
      </c>
      <c r="B70" t="s">
        <v>17</v>
      </c>
    </row>
    <row r="72" spans="1:7" x14ac:dyDescent="0.25">
      <c r="A72" s="3" t="s">
        <v>49</v>
      </c>
      <c r="B72" t="s">
        <v>51</v>
      </c>
    </row>
    <row r="73" spans="1:7" x14ac:dyDescent="0.25">
      <c r="A73" s="4" t="s">
        <v>36</v>
      </c>
      <c r="B73" s="40">
        <v>0.44444444444444442</v>
      </c>
    </row>
    <row r="74" spans="1:7" x14ac:dyDescent="0.25">
      <c r="A74" s="4" t="s">
        <v>19</v>
      </c>
      <c r="B74" s="40">
        <v>0.31515151515151513</v>
      </c>
    </row>
    <row r="75" spans="1:7" x14ac:dyDescent="0.25">
      <c r="A75" s="4" t="s">
        <v>28</v>
      </c>
      <c r="B75" s="40">
        <v>0.2404040404040404</v>
      </c>
      <c r="G75" s="9"/>
    </row>
    <row r="76" spans="1:7" x14ac:dyDescent="0.25">
      <c r="A76" s="4" t="s">
        <v>50</v>
      </c>
      <c r="B76" s="5">
        <v>1</v>
      </c>
      <c r="G76" s="9"/>
    </row>
    <row r="77" spans="1:7" x14ac:dyDescent="0.25">
      <c r="G77" s="9"/>
    </row>
    <row r="88" spans="1:6" x14ac:dyDescent="0.25">
      <c r="A88" s="36" t="s">
        <v>37</v>
      </c>
      <c r="B88" s="36" t="s">
        <v>38</v>
      </c>
      <c r="C88" s="36" t="s">
        <v>39</v>
      </c>
      <c r="D88" s="36" t="s">
        <v>40</v>
      </c>
      <c r="E88" s="36" t="s">
        <v>41</v>
      </c>
      <c r="F88" s="37" t="s">
        <v>42</v>
      </c>
    </row>
    <row r="89" spans="1:6" x14ac:dyDescent="0.25">
      <c r="A89" s="38" t="s">
        <v>17</v>
      </c>
      <c r="B89" s="38">
        <v>10000</v>
      </c>
      <c r="C89" s="38">
        <v>170000</v>
      </c>
      <c r="D89" s="45">
        <v>57474.747474747477</v>
      </c>
      <c r="E89" s="45">
        <v>31045.983733139608</v>
      </c>
      <c r="F89" s="39">
        <v>60000</v>
      </c>
    </row>
    <row r="90" spans="1:6" x14ac:dyDescent="0.25">
      <c r="A90" s="28" t="s">
        <v>20</v>
      </c>
      <c r="B90" s="28">
        <v>10000</v>
      </c>
      <c r="C90" s="28">
        <v>170000</v>
      </c>
      <c r="D90" s="41">
        <v>55028.248587570619</v>
      </c>
      <c r="E90" s="41">
        <v>31505.452546096116</v>
      </c>
      <c r="F90" s="7">
        <v>60000</v>
      </c>
    </row>
    <row r="109" spans="1:4" x14ac:dyDescent="0.25">
      <c r="A109" s="3" t="s">
        <v>59</v>
      </c>
      <c r="B109" s="3" t="s">
        <v>58</v>
      </c>
    </row>
    <row r="110" spans="1:4" x14ac:dyDescent="0.25">
      <c r="A110" s="3" t="s">
        <v>12</v>
      </c>
      <c r="B110" t="s">
        <v>45</v>
      </c>
      <c r="C110" t="s">
        <v>46</v>
      </c>
      <c r="D110" t="s">
        <v>50</v>
      </c>
    </row>
    <row r="111" spans="1:4" x14ac:dyDescent="0.25">
      <c r="A111" s="4" t="s">
        <v>20</v>
      </c>
      <c r="B111" s="40">
        <v>0.52645861601085486</v>
      </c>
      <c r="C111" s="40">
        <v>0.49480968858131485</v>
      </c>
      <c r="D111" s="40">
        <v>0.51754385964912286</v>
      </c>
    </row>
    <row r="112" spans="1:4" x14ac:dyDescent="0.25">
      <c r="A112" s="10" t="s">
        <v>17</v>
      </c>
      <c r="B112" s="40">
        <v>0.47354138398914519</v>
      </c>
      <c r="C112" s="40">
        <v>0.50519031141868509</v>
      </c>
      <c r="D112" s="40">
        <v>0.48245614035087719</v>
      </c>
    </row>
    <row r="113" spans="1:4" x14ac:dyDescent="0.25">
      <c r="A113" s="4" t="s">
        <v>50</v>
      </c>
      <c r="B113" s="5">
        <v>1</v>
      </c>
      <c r="C113" s="5">
        <v>1</v>
      </c>
      <c r="D113" s="5">
        <v>1</v>
      </c>
    </row>
    <row r="123" spans="1:4" x14ac:dyDescent="0.25">
      <c r="A123" s="3" t="s">
        <v>12</v>
      </c>
      <c r="B123" t="s">
        <v>17</v>
      </c>
    </row>
    <row r="125" spans="1:4" x14ac:dyDescent="0.25">
      <c r="A125" s="3" t="s">
        <v>12</v>
      </c>
      <c r="B125" t="s">
        <v>59</v>
      </c>
    </row>
    <row r="126" spans="1:4" x14ac:dyDescent="0.25">
      <c r="A126" s="4" t="s">
        <v>18</v>
      </c>
      <c r="B126" s="40">
        <v>0.41818181818181815</v>
      </c>
    </row>
    <row r="127" spans="1:4" x14ac:dyDescent="0.25">
      <c r="A127" s="4" t="s">
        <v>30</v>
      </c>
      <c r="B127" s="40">
        <v>0.16767676767676767</v>
      </c>
    </row>
    <row r="128" spans="1:4" x14ac:dyDescent="0.25">
      <c r="A128" s="4" t="s">
        <v>25</v>
      </c>
      <c r="B128" s="40">
        <v>0.19191919191919191</v>
      </c>
    </row>
    <row r="129" spans="1:2" x14ac:dyDescent="0.25">
      <c r="A129" s="4" t="s">
        <v>27</v>
      </c>
      <c r="B129" s="40">
        <v>0.15555555555555556</v>
      </c>
    </row>
    <row r="130" spans="1:2" x14ac:dyDescent="0.25">
      <c r="A130" s="4" t="s">
        <v>34</v>
      </c>
      <c r="B130" s="40">
        <v>6.6666666666666666E-2</v>
      </c>
    </row>
    <row r="131" spans="1:2" x14ac:dyDescent="0.25">
      <c r="A131" s="4" t="s">
        <v>50</v>
      </c>
      <c r="B131" s="5">
        <v>1</v>
      </c>
    </row>
    <row r="148" spans="1:3" x14ac:dyDescent="0.25">
      <c r="A148" s="3" t="s">
        <v>60</v>
      </c>
      <c r="B148" s="3" t="s">
        <v>58</v>
      </c>
    </row>
    <row r="149" spans="1:3" x14ac:dyDescent="0.25">
      <c r="A149" s="3" t="s">
        <v>12</v>
      </c>
      <c r="B149" t="s">
        <v>20</v>
      </c>
      <c r="C149" t="s">
        <v>17</v>
      </c>
    </row>
    <row r="150" spans="1:3" x14ac:dyDescent="0.25">
      <c r="A150" s="4" t="s">
        <v>15</v>
      </c>
      <c r="B150" s="40">
        <v>0.45659163987138263</v>
      </c>
      <c r="C150" s="40">
        <v>0.54340836012861737</v>
      </c>
    </row>
    <row r="151" spans="1:3" x14ac:dyDescent="0.25">
      <c r="A151" s="4" t="s">
        <v>35</v>
      </c>
      <c r="B151" s="40">
        <v>0.45714285714285713</v>
      </c>
      <c r="C151" s="40">
        <v>0.54285714285714282</v>
      </c>
    </row>
    <row r="152" spans="1:3" x14ac:dyDescent="0.25">
      <c r="A152" s="4" t="s">
        <v>31</v>
      </c>
      <c r="B152" s="40">
        <v>0.55434782608695654</v>
      </c>
      <c r="C152" s="40">
        <v>0.44565217391304346</v>
      </c>
    </row>
    <row r="153" spans="1:3" x14ac:dyDescent="0.25">
      <c r="A153" s="4" t="s">
        <v>22</v>
      </c>
      <c r="B153" s="40">
        <v>0.54316546762589923</v>
      </c>
      <c r="C153" s="40">
        <v>0.45683453237410071</v>
      </c>
    </row>
    <row r="154" spans="1:3" x14ac:dyDescent="0.25">
      <c r="A154" s="4" t="s">
        <v>33</v>
      </c>
      <c r="B154" s="40">
        <v>0.71794871794871795</v>
      </c>
      <c r="C154" s="40">
        <v>0.28205128205128205</v>
      </c>
    </row>
    <row r="155" spans="1:3" x14ac:dyDescent="0.25">
      <c r="A155" s="4" t="s">
        <v>50</v>
      </c>
      <c r="B155" s="5">
        <v>0.51754385964912286</v>
      </c>
      <c r="C155" s="5">
        <v>0.48245614035087719</v>
      </c>
    </row>
    <row r="165" spans="1:3" x14ac:dyDescent="0.25">
      <c r="A165" s="3" t="s">
        <v>60</v>
      </c>
      <c r="B165" s="3" t="s">
        <v>58</v>
      </c>
    </row>
    <row r="166" spans="1:3" x14ac:dyDescent="0.25">
      <c r="A166" s="3" t="s">
        <v>12</v>
      </c>
      <c r="B166" t="s">
        <v>20</v>
      </c>
      <c r="C166" t="s">
        <v>17</v>
      </c>
    </row>
    <row r="167" spans="1:3" x14ac:dyDescent="0.25">
      <c r="A167" s="4" t="s">
        <v>23</v>
      </c>
      <c r="B167" s="40">
        <v>0.49197860962566847</v>
      </c>
      <c r="C167" s="40">
        <v>0.50802139037433158</v>
      </c>
    </row>
    <row r="168" spans="1:3" x14ac:dyDescent="0.25">
      <c r="A168" s="4" t="s">
        <v>32</v>
      </c>
      <c r="B168" s="40">
        <v>0.58045977011494254</v>
      </c>
      <c r="C168" s="40">
        <v>0.41954022988505746</v>
      </c>
    </row>
    <row r="169" spans="1:3" x14ac:dyDescent="0.25">
      <c r="A169" s="4" t="s">
        <v>29</v>
      </c>
      <c r="B169" s="40">
        <v>0.53174603174603174</v>
      </c>
      <c r="C169" s="40">
        <v>0.46825396825396826</v>
      </c>
    </row>
    <row r="170" spans="1:3" x14ac:dyDescent="0.25">
      <c r="A170" s="4" t="s">
        <v>24</v>
      </c>
      <c r="B170" s="40">
        <v>0.4642857142857143</v>
      </c>
      <c r="C170" s="40">
        <v>0.5357142857142857</v>
      </c>
    </row>
    <row r="171" spans="1:3" x14ac:dyDescent="0.25">
      <c r="A171" s="4" t="s">
        <v>16</v>
      </c>
      <c r="B171" s="40">
        <v>0.54440154440154442</v>
      </c>
      <c r="C171" s="40">
        <v>0.45559845559845558</v>
      </c>
    </row>
    <row r="172" spans="1:3" x14ac:dyDescent="0.25">
      <c r="A172" s="4" t="s">
        <v>50</v>
      </c>
      <c r="B172" s="5">
        <v>0.51754385964912286</v>
      </c>
      <c r="C172" s="5">
        <v>0.48245614035087719</v>
      </c>
    </row>
  </sheetData>
  <pageMargins left="0.7" right="0.7" top="0.75" bottom="0.75" header="0.3" footer="0.3"/>
  <drawing r:id="rId7"/>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EA88-F0A8-4963-A2C0-EE58767647FF}">
  <dimension ref="K11"/>
  <sheetViews>
    <sheetView showGridLines="0" topLeftCell="A4" zoomScale="90" zoomScaleNormal="90" workbookViewId="0">
      <selection activeCell="P38" sqref="P38"/>
    </sheetView>
  </sheetViews>
  <sheetFormatPr defaultRowHeight="15" x14ac:dyDescent="0.25"/>
  <sheetData>
    <row r="11" spans="11:11" x14ac:dyDescent="0.25">
      <c r="K11" s="3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Bike_Sale_Worksheet_dashboard</vt:lpstr>
      <vt:lpstr>Sheet1</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Paul Prudenciado</dc:creator>
  <cp:lastModifiedBy>Jan Paul Prudenciado</cp:lastModifiedBy>
  <cp:lastPrinted>2024-11-25T14:22:54Z</cp:lastPrinted>
  <dcterms:created xsi:type="dcterms:W3CDTF">2024-11-24T16:59:25Z</dcterms:created>
  <dcterms:modified xsi:type="dcterms:W3CDTF">2025-01-02T02:43:26Z</dcterms:modified>
</cp:coreProperties>
</file>